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bbleSort" sheetId="1" state="visible" r:id="rId1"/>
    <sheet xmlns:r="http://schemas.openxmlformats.org/officeDocument/2006/relationships" name="MergeSort" sheetId="2" state="visible" r:id="rId2"/>
    <sheet xmlns:r="http://schemas.openxmlformats.org/officeDocument/2006/relationships" name="ArraysSort" sheetId="3" state="visible" r:id="rId3"/>
    <sheet xmlns:r="http://schemas.openxmlformats.org/officeDocument/2006/relationships" name="AllSorts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1"/>
    </font>
    <font>
      <name val="Calibri"/>
      <b val="1"/>
      <sz val="11"/>
    </font>
    <font>
      <name val="Calibri"/>
      <sz val="11"/>
    </font>
    <font>
      <name val="Calibri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4" fillId="0" borderId="0" pivotButton="0" quotePrefix="0" xfId="0"/>
    <xf numFmtId="3" fontId="4" fillId="0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BubbleSort (случайный массив)</a:t>
            </a:r>
          </a:p>
        </rich>
      </tx>
    </title>
    <plotArea>
      <lineChart>
        <grouping val="standard"/>
        <ser>
          <idx val="0"/>
          <order val="0"/>
          <tx>
            <v>Ряд1</v>
          </tx>
          <spPr>
            <a:ln xmlns:a="http://schemas.openxmlformats.org/drawingml/2006/main" w="28800">
              <a:solidFill>
                <a:srgbClr val="004586"/>
              </a:solidFill>
              <a:prstDash val="solid"/>
            </a:ln>
          </spPr>
          <marker>
            <symbol val="square"/>
            <size val="8"/>
            <spPr>
              <a:solidFill xmlns:a="http://schemas.openxmlformats.org/drawingml/2006/main">
                <a:srgbClr val="004586"/>
              </a:solidFill>
              <a:ln xmlns:a="http://schemas.openxmlformats.org/drawingml/2006/main">
                <a:solidFill>
                  <a:srgbClr val="004586"/>
                </a:solidFill>
                <a:prstDash val="solid"/>
              </a:ln>
            </spPr>
          </marker>
          <val>
            <numRef>
              <f>'BubbleSort'!$E$2:$E$12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x^2</a:t>
            </a:r>
          </a:p>
        </rich>
      </tx>
    </title>
    <plotArea>
      <lineChart>
        <grouping val="standard"/>
        <ser>
          <idx val="0"/>
          <order val="0"/>
          <tx>
            <v>x^2</v>
          </tx>
          <spPr>
            <a:ln xmlns:a="http://schemas.openxmlformats.org/drawingml/2006/main" w="28800">
              <a:solidFill>
                <a:srgbClr val="004586"/>
              </a:solidFill>
              <a:prstDash val="solid"/>
            </a:ln>
          </spPr>
          <marker>
            <symbol val="square"/>
            <size val="8"/>
            <spPr>
              <a:solidFill xmlns:a="http://schemas.openxmlformats.org/drawingml/2006/main">
                <a:srgbClr val="004586"/>
              </a:solidFill>
              <a:ln xmlns:a="http://schemas.openxmlformats.org/drawingml/2006/main">
                <a:solidFill>
                  <a:srgbClr val="004586"/>
                </a:solidFill>
                <a:prstDash val="solid"/>
              </a:ln>
            </spPr>
          </marker>
          <val>
            <numRef>
              <f>'BubbleSort'!$O$2:$O$12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Лучший BubbleSort (отсортированный массив)</a:t>
            </a:r>
          </a:p>
          <a:p xmlns:a="http://schemas.openxmlformats.org/drawingml/2006/main">
            <a:pPr>
              <a:defRPr/>
            </a:pPr>
            <a:r>
              <a:t>(возможно, влияют оптимизации языка или процессора)</a:t>
            </a:r>
          </a:p>
        </rich>
      </tx>
    </title>
    <plotArea>
      <lineChart>
        <grouping val="standard"/>
        <ser>
          <idx val="0"/>
          <order val="0"/>
          <tx>
            <v>Ряд1</v>
          </tx>
          <spPr>
            <a:ln xmlns:a="http://schemas.openxmlformats.org/drawingml/2006/main" w="28800">
              <a:solidFill>
                <a:srgbClr val="004586"/>
              </a:solidFill>
              <a:prstDash val="solid"/>
            </a:ln>
          </spPr>
          <marker>
            <symbol val="square"/>
            <size val="8"/>
            <spPr>
              <a:solidFill xmlns:a="http://schemas.openxmlformats.org/drawingml/2006/main">
                <a:srgbClr val="004586"/>
              </a:solidFill>
              <a:ln xmlns:a="http://schemas.openxmlformats.org/drawingml/2006/main">
                <a:solidFill>
                  <a:srgbClr val="004586"/>
                </a:solidFill>
                <a:prstDash val="solid"/>
              </a:ln>
            </spPr>
          </marker>
          <val>
            <numRef>
              <f>'BubbleSort'!$E$26:$E$36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Худший BubbleSort (обратно отсортированный массив)</a:t>
            </a:r>
          </a:p>
        </rich>
      </tx>
    </title>
    <plotArea>
      <lineChart>
        <grouping val="standard"/>
        <ser>
          <idx val="0"/>
          <order val="0"/>
          <tx>
            <v>Ряд1</v>
          </tx>
          <spPr>
            <a:ln xmlns:a="http://schemas.openxmlformats.org/drawingml/2006/main" w="28800">
              <a:solidFill>
                <a:srgbClr val="004586"/>
              </a:solidFill>
              <a:prstDash val="solid"/>
            </a:ln>
          </spPr>
          <marker>
            <symbol val="square"/>
            <size val="8"/>
            <spPr>
              <a:solidFill xmlns:a="http://schemas.openxmlformats.org/drawingml/2006/main">
                <a:srgbClr val="004586"/>
              </a:solidFill>
              <a:ln xmlns:a="http://schemas.openxmlformats.org/drawingml/2006/main">
                <a:solidFill>
                  <a:srgbClr val="004586"/>
                </a:solidFill>
                <a:prstDash val="solid"/>
              </a:ln>
            </spPr>
          </marker>
          <val>
            <numRef>
              <f>'BubbleSort'!$E$49:$E$59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BubbleSort (все 3 случая)</a:t>
            </a:r>
          </a:p>
        </rich>
      </tx>
    </title>
    <plotArea>
      <lineChart>
        <grouping val="standard"/>
        <ser>
          <idx val="0"/>
          <order val="0"/>
          <tx>
            <v>Случайный</v>
          </tx>
          <spPr>
            <a:ln xmlns:a="http://schemas.openxmlformats.org/drawingml/2006/main" w="28800">
              <a:solidFill>
                <a:srgbClr val="004586"/>
              </a:solidFill>
              <a:prstDash val="solid"/>
            </a:ln>
          </spPr>
          <marker>
            <symbol val="square"/>
            <size val="8"/>
            <spPr>
              <a:solidFill xmlns:a="http://schemas.openxmlformats.org/drawingml/2006/main">
                <a:srgbClr val="004586"/>
              </a:solidFill>
              <a:ln xmlns:a="http://schemas.openxmlformats.org/drawingml/2006/main">
                <a:solidFill>
                  <a:srgbClr val="004586"/>
                </a:solidFill>
                <a:prstDash val="solid"/>
              </a:ln>
            </spPr>
          </marker>
          <val>
            <numRef>
              <f>'BubbleSort'!$E$2:$E$12</f>
            </numRef>
          </val>
        </ser>
        <ser>
          <idx val="1"/>
          <order val="1"/>
          <tx>
            <v>Лучший</v>
          </tx>
          <spPr>
            <a:ln xmlns:a="http://schemas.openxmlformats.org/drawingml/2006/main" w="28800">
              <a:solidFill>
                <a:srgbClr val="FF420E"/>
              </a:solidFill>
              <a:prstDash val="solid"/>
            </a:ln>
          </spPr>
          <marker>
            <symbol val="diamond"/>
            <size val="8"/>
            <spPr>
              <a:solidFill xmlns:a="http://schemas.openxmlformats.org/drawingml/2006/main">
                <a:srgbClr val="FF420E"/>
              </a:solidFill>
              <a:ln xmlns:a="http://schemas.openxmlformats.org/drawingml/2006/main">
                <a:solidFill>
                  <a:srgbClr val="FF420E"/>
                </a:solidFill>
                <a:prstDash val="solid"/>
              </a:ln>
            </spPr>
          </marker>
          <val>
            <numRef>
              <f>'BubbleSort'!$E$26:$E$36</f>
            </numRef>
          </val>
        </ser>
        <ser>
          <idx val="2"/>
          <order val="2"/>
          <tx>
            <v>Худший</v>
          </tx>
          <spPr>
            <a:ln xmlns:a="http://schemas.openxmlformats.org/drawingml/2006/main" w="28800">
              <a:solidFill>
                <a:srgbClr val="FFD320"/>
              </a:solidFill>
              <a:prstDash val="solid"/>
            </a:ln>
          </spPr>
          <marker>
            <symbol val="triangle"/>
            <size val="8"/>
            <spPr>
              <a:solidFill xmlns:a="http://schemas.openxmlformats.org/drawingml/2006/main">
                <a:srgbClr val="FFD320"/>
              </a:solidFill>
              <a:ln xmlns:a="http://schemas.openxmlformats.org/drawingml/2006/main">
                <a:solidFill>
                  <a:srgbClr val="FFD320"/>
                </a:solidFill>
                <a:prstDash val="solid"/>
              </a:ln>
            </spPr>
          </marker>
          <val>
            <numRef>
              <f>'BubbleSort'!$E$49:$E$59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MergeSort (случайный массив)</a:t>
            </a:r>
          </a:p>
        </rich>
      </tx>
    </title>
    <plotArea>
      <lineChart>
        <grouping val="standard"/>
        <ser>
          <idx val="0"/>
          <order val="0"/>
          <tx>
            <v>Ряд1</v>
          </tx>
          <spPr>
            <a:ln xmlns:a="http://schemas.openxmlformats.org/drawingml/2006/main" w="28800">
              <a:solidFill>
                <a:srgbClr val="004586"/>
              </a:solidFill>
              <a:prstDash val="solid"/>
            </a:ln>
          </spPr>
          <marker>
            <symbol val="square"/>
            <size val="8"/>
            <spPr>
              <a:solidFill xmlns:a="http://schemas.openxmlformats.org/drawingml/2006/main">
                <a:srgbClr val="004586"/>
              </a:solidFill>
              <a:ln xmlns:a="http://schemas.openxmlformats.org/drawingml/2006/main">
                <a:solidFill>
                  <a:srgbClr val="004586"/>
                </a:solidFill>
                <a:prstDash val="solid"/>
              </a:ln>
            </spPr>
          </marker>
          <val>
            <numRef>
              <f>'MergeSort'!$E$2:$E$13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nlogn</a:t>
            </a:r>
          </a:p>
        </rich>
      </tx>
    </title>
    <plotArea>
      <lineChart>
        <grouping val="standard"/>
        <ser>
          <idx val="0"/>
          <order val="0"/>
          <tx>
            <v>nlogn</v>
          </tx>
          <spPr>
            <a:ln xmlns:a="http://schemas.openxmlformats.org/drawingml/2006/main" w="28800">
              <a:solidFill>
                <a:srgbClr val="004586"/>
              </a:solidFill>
              <a:prstDash val="solid"/>
            </a:ln>
          </spPr>
          <marker>
            <symbol val="square"/>
            <size val="8"/>
            <spPr>
              <a:solidFill xmlns:a="http://schemas.openxmlformats.org/drawingml/2006/main">
                <a:srgbClr val="004586"/>
              </a:solidFill>
              <a:ln xmlns:a="http://schemas.openxmlformats.org/drawingml/2006/main">
                <a:solidFill>
                  <a:srgbClr val="004586"/>
                </a:solidFill>
                <a:prstDash val="solid"/>
              </a:ln>
            </spPr>
          </marker>
          <val>
            <numRef>
              <f>'MergeSort'!$O$2:$O$13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Лучший MergeSort (отсортированный массив)</a:t>
            </a:r>
          </a:p>
        </rich>
      </tx>
    </title>
    <plotArea>
      <lineChart>
        <grouping val="standard"/>
        <ser>
          <idx val="0"/>
          <order val="0"/>
          <tx>
            <v>Ряд1</v>
          </tx>
          <spPr>
            <a:ln xmlns:a="http://schemas.openxmlformats.org/drawingml/2006/main" w="28800">
              <a:solidFill>
                <a:srgbClr val="004586"/>
              </a:solidFill>
              <a:prstDash val="solid"/>
            </a:ln>
          </spPr>
          <marker>
            <symbol val="square"/>
            <size val="8"/>
            <spPr>
              <a:solidFill xmlns:a="http://schemas.openxmlformats.org/drawingml/2006/main">
                <a:srgbClr val="004586"/>
              </a:solidFill>
              <a:ln xmlns:a="http://schemas.openxmlformats.org/drawingml/2006/main">
                <a:solidFill>
                  <a:srgbClr val="004586"/>
                </a:solidFill>
                <a:prstDash val="solid"/>
              </a:ln>
            </spPr>
          </marker>
          <val>
            <numRef>
              <f>'MergeSort'!$E$26:$E$37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Худший MergeSort (обратно отсортированный массив)</a:t>
            </a:r>
          </a:p>
        </rich>
      </tx>
    </title>
    <plotArea>
      <lineChart>
        <grouping val="standard"/>
        <ser>
          <idx val="0"/>
          <order val="0"/>
          <tx>
            <v>Ряд1</v>
          </tx>
          <spPr>
            <a:ln xmlns:a="http://schemas.openxmlformats.org/drawingml/2006/main" w="28800">
              <a:solidFill>
                <a:srgbClr val="004586"/>
              </a:solidFill>
              <a:prstDash val="solid"/>
            </a:ln>
          </spPr>
          <marker>
            <symbol val="square"/>
            <size val="8"/>
            <spPr>
              <a:solidFill xmlns:a="http://schemas.openxmlformats.org/drawingml/2006/main">
                <a:srgbClr val="004586"/>
              </a:solidFill>
              <a:ln xmlns:a="http://schemas.openxmlformats.org/drawingml/2006/main">
                <a:solidFill>
                  <a:srgbClr val="004586"/>
                </a:solidFill>
                <a:prstDash val="solid"/>
              </a:ln>
            </spPr>
          </marker>
          <val>
            <numRef>
              <f>'MergeSort'!$E$49:$E$60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MergeSort (все 3 случая)</a:t>
            </a:r>
          </a:p>
        </rich>
      </tx>
    </title>
    <plotArea>
      <lineChart>
        <grouping val="standard"/>
        <ser>
          <idx val="0"/>
          <order val="0"/>
          <tx>
            <v>Случайный</v>
          </tx>
          <spPr>
            <a:ln xmlns:a="http://schemas.openxmlformats.org/drawingml/2006/main" w="28800">
              <a:solidFill>
                <a:srgbClr val="004586"/>
              </a:solidFill>
              <a:prstDash val="solid"/>
            </a:ln>
          </spPr>
          <marker>
            <symbol val="square"/>
            <size val="8"/>
            <spPr>
              <a:solidFill xmlns:a="http://schemas.openxmlformats.org/drawingml/2006/main">
                <a:srgbClr val="004586"/>
              </a:solidFill>
              <a:ln xmlns:a="http://schemas.openxmlformats.org/drawingml/2006/main">
                <a:solidFill>
                  <a:srgbClr val="004586"/>
                </a:solidFill>
                <a:prstDash val="solid"/>
              </a:ln>
            </spPr>
          </marker>
          <val>
            <numRef>
              <f>'MergeSort'!$E$2:$E$13</f>
            </numRef>
          </val>
        </ser>
        <ser>
          <idx val="1"/>
          <order val="1"/>
          <tx>
            <v>Лучший</v>
          </tx>
          <spPr>
            <a:ln xmlns:a="http://schemas.openxmlformats.org/drawingml/2006/main" w="28800">
              <a:solidFill>
                <a:srgbClr val="FF420E"/>
              </a:solidFill>
              <a:prstDash val="solid"/>
            </a:ln>
          </spPr>
          <marker>
            <symbol val="diamond"/>
            <size val="8"/>
            <spPr>
              <a:solidFill xmlns:a="http://schemas.openxmlformats.org/drawingml/2006/main">
                <a:srgbClr val="FF420E"/>
              </a:solidFill>
              <a:ln xmlns:a="http://schemas.openxmlformats.org/drawingml/2006/main">
                <a:solidFill>
                  <a:srgbClr val="FF420E"/>
                </a:solidFill>
                <a:prstDash val="solid"/>
              </a:ln>
            </spPr>
          </marker>
          <val>
            <numRef>
              <f>'MergeSort'!$E$26:$E$37</f>
            </numRef>
          </val>
        </ser>
        <ser>
          <idx val="2"/>
          <order val="2"/>
          <tx>
            <v>Худший</v>
          </tx>
          <spPr>
            <a:ln xmlns:a="http://schemas.openxmlformats.org/drawingml/2006/main" w="28800">
              <a:solidFill>
                <a:srgbClr val="FFD320"/>
              </a:solidFill>
              <a:prstDash val="solid"/>
            </a:ln>
          </spPr>
          <marker>
            <symbol val="triangle"/>
            <size val="8"/>
            <spPr>
              <a:solidFill xmlns:a="http://schemas.openxmlformats.org/drawingml/2006/main">
                <a:srgbClr val="FFD320"/>
              </a:solidFill>
              <a:ln xmlns:a="http://schemas.openxmlformats.org/drawingml/2006/main">
                <a:solidFill>
                  <a:srgbClr val="FFD320"/>
                </a:solidFill>
                <a:prstDash val="solid"/>
              </a:ln>
            </spPr>
          </marker>
          <val>
            <numRef>
              <f>'MergeSort'!$E$49:$E$60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Arrays.sort (случайный массив)</a:t>
            </a:r>
          </a:p>
        </rich>
      </tx>
    </title>
    <plotArea>
      <lineChart>
        <grouping val="standard"/>
        <ser>
          <idx val="0"/>
          <order val="0"/>
          <tx>
            <v>Ряд1</v>
          </tx>
          <spPr>
            <a:ln xmlns:a="http://schemas.openxmlformats.org/drawingml/2006/main" w="28800">
              <a:solidFill>
                <a:srgbClr val="004586"/>
              </a:solidFill>
              <a:prstDash val="solid"/>
            </a:ln>
          </spPr>
          <marker>
            <symbol val="square"/>
            <size val="8"/>
            <spPr>
              <a:solidFill xmlns:a="http://schemas.openxmlformats.org/drawingml/2006/main">
                <a:srgbClr val="004586"/>
              </a:solidFill>
              <a:ln xmlns:a="http://schemas.openxmlformats.org/drawingml/2006/main">
                <a:solidFill>
                  <a:srgbClr val="004586"/>
                </a:solidFill>
                <a:prstDash val="solid"/>
              </a:ln>
            </spPr>
          </marker>
          <val>
            <numRef>
              <f>'ArraysSort'!$E$2:$E$13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nlogn</a:t>
            </a:r>
          </a:p>
        </rich>
      </tx>
    </title>
    <plotArea>
      <lineChart>
        <grouping val="standard"/>
        <ser>
          <idx val="0"/>
          <order val="0"/>
          <tx>
            <v>nlogn</v>
          </tx>
          <spPr>
            <a:ln xmlns:a="http://schemas.openxmlformats.org/drawingml/2006/main" w="28800">
              <a:solidFill>
                <a:srgbClr val="004586"/>
              </a:solidFill>
              <a:prstDash val="solid"/>
            </a:ln>
          </spPr>
          <marker>
            <symbol val="square"/>
            <size val="8"/>
            <spPr>
              <a:solidFill xmlns:a="http://schemas.openxmlformats.org/drawingml/2006/main">
                <a:srgbClr val="004586"/>
              </a:solidFill>
              <a:ln xmlns:a="http://schemas.openxmlformats.org/drawingml/2006/main">
                <a:solidFill>
                  <a:srgbClr val="004586"/>
                </a:solidFill>
                <a:prstDash val="solid"/>
              </a:ln>
            </spPr>
          </marker>
          <val>
            <numRef>
              <f>'ArraysSort'!$O$2:$O$13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Лучший Arrays.sort (отсортированный массив)</a:t>
            </a:r>
          </a:p>
        </rich>
      </tx>
    </title>
    <plotArea>
      <lineChart>
        <grouping val="standard"/>
        <ser>
          <idx val="0"/>
          <order val="0"/>
          <tx>
            <v>Ряд1</v>
          </tx>
          <spPr>
            <a:ln xmlns:a="http://schemas.openxmlformats.org/drawingml/2006/main" w="28800">
              <a:solidFill>
                <a:srgbClr val="004586"/>
              </a:solidFill>
              <a:prstDash val="solid"/>
            </a:ln>
          </spPr>
          <marker>
            <symbol val="square"/>
            <size val="8"/>
            <spPr>
              <a:solidFill xmlns:a="http://schemas.openxmlformats.org/drawingml/2006/main">
                <a:srgbClr val="004586"/>
              </a:solidFill>
              <a:ln xmlns:a="http://schemas.openxmlformats.org/drawingml/2006/main">
                <a:solidFill>
                  <a:srgbClr val="004586"/>
                </a:solidFill>
                <a:prstDash val="solid"/>
              </a:ln>
            </spPr>
          </marker>
          <val>
            <numRef>
              <f>'ArraysSort'!$E$26:$E$37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Худший Arrays.sort (обратно отсортированный массив)</a:t>
            </a:r>
          </a:p>
        </rich>
      </tx>
    </title>
    <plotArea>
      <lineChart>
        <grouping val="standard"/>
        <ser>
          <idx val="0"/>
          <order val="0"/>
          <tx>
            <v>Ряд1</v>
          </tx>
          <spPr>
            <a:ln xmlns:a="http://schemas.openxmlformats.org/drawingml/2006/main" w="28800">
              <a:solidFill>
                <a:srgbClr val="004586"/>
              </a:solidFill>
              <a:prstDash val="solid"/>
            </a:ln>
          </spPr>
          <marker>
            <symbol val="square"/>
            <size val="8"/>
            <spPr>
              <a:solidFill xmlns:a="http://schemas.openxmlformats.org/drawingml/2006/main">
                <a:srgbClr val="004586"/>
              </a:solidFill>
              <a:ln xmlns:a="http://schemas.openxmlformats.org/drawingml/2006/main">
                <a:solidFill>
                  <a:srgbClr val="004586"/>
                </a:solidFill>
                <a:prstDash val="solid"/>
              </a:ln>
            </spPr>
          </marker>
          <val>
            <numRef>
              <f>'ArraysSort'!$E$49:$E$60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Arrays.sort (все 3 случая)</a:t>
            </a:r>
          </a:p>
        </rich>
      </tx>
    </title>
    <plotArea>
      <lineChart>
        <grouping val="standard"/>
        <ser>
          <idx val="0"/>
          <order val="0"/>
          <tx>
            <v>Случайный</v>
          </tx>
          <spPr>
            <a:ln xmlns:a="http://schemas.openxmlformats.org/drawingml/2006/main" w="28800">
              <a:solidFill>
                <a:srgbClr val="004586"/>
              </a:solidFill>
              <a:prstDash val="solid"/>
            </a:ln>
          </spPr>
          <marker>
            <symbol val="square"/>
            <size val="8"/>
            <spPr>
              <a:solidFill xmlns:a="http://schemas.openxmlformats.org/drawingml/2006/main">
                <a:srgbClr val="004586"/>
              </a:solidFill>
              <a:ln xmlns:a="http://schemas.openxmlformats.org/drawingml/2006/main">
                <a:solidFill>
                  <a:srgbClr val="004586"/>
                </a:solidFill>
                <a:prstDash val="solid"/>
              </a:ln>
            </spPr>
          </marker>
          <val>
            <numRef>
              <f>'ArraysSort'!$E$2:$E$13</f>
            </numRef>
          </val>
        </ser>
        <ser>
          <idx val="1"/>
          <order val="1"/>
          <tx>
            <v>Лучший</v>
          </tx>
          <spPr>
            <a:ln xmlns:a="http://schemas.openxmlformats.org/drawingml/2006/main" w="28800">
              <a:solidFill>
                <a:srgbClr val="FF420E"/>
              </a:solidFill>
              <a:prstDash val="solid"/>
            </a:ln>
          </spPr>
          <marker>
            <symbol val="diamond"/>
            <size val="8"/>
            <spPr>
              <a:solidFill xmlns:a="http://schemas.openxmlformats.org/drawingml/2006/main">
                <a:srgbClr val="FF420E"/>
              </a:solidFill>
              <a:ln xmlns:a="http://schemas.openxmlformats.org/drawingml/2006/main">
                <a:solidFill>
                  <a:srgbClr val="FF420E"/>
                </a:solidFill>
                <a:prstDash val="solid"/>
              </a:ln>
            </spPr>
          </marker>
          <val>
            <numRef>
              <f>'ArraysSort'!$E$26:$E$37</f>
            </numRef>
          </val>
        </ser>
        <ser>
          <idx val="2"/>
          <order val="2"/>
          <tx>
            <v>Худший</v>
          </tx>
          <spPr>
            <a:ln xmlns:a="http://schemas.openxmlformats.org/drawingml/2006/main" w="28800">
              <a:solidFill>
                <a:srgbClr val="FFD320"/>
              </a:solidFill>
              <a:prstDash val="solid"/>
            </a:ln>
          </spPr>
          <marker>
            <symbol val="triangle"/>
            <size val="8"/>
            <spPr>
              <a:solidFill xmlns:a="http://schemas.openxmlformats.org/drawingml/2006/main">
                <a:srgbClr val="FFD320"/>
              </a:solidFill>
              <a:ln xmlns:a="http://schemas.openxmlformats.org/drawingml/2006/main">
                <a:solidFill>
                  <a:srgbClr val="FFD320"/>
                </a:solidFill>
                <a:prstDash val="solid"/>
              </a:ln>
            </spPr>
          </marker>
          <val>
            <numRef>
              <f>'ArraysSort'!$E$49:$E$60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Сравнение быстрых сортировок (MergeSort vs Arrays.sort)</a:t>
            </a:r>
          </a:p>
        </rich>
      </tx>
    </title>
    <plotArea>
      <lineChart>
        <grouping val="standard"/>
        <ser>
          <idx val="0"/>
          <order val="0"/>
          <tx>
            <v>MergeSort</v>
          </tx>
          <spPr>
            <a:ln xmlns:a="http://schemas.openxmlformats.org/drawingml/2006/main" w="28800">
              <a:solidFill>
                <a:srgbClr val="004586"/>
              </a:solidFill>
              <a:prstDash val="solid"/>
            </a:ln>
          </spPr>
          <marker>
            <symbol val="square"/>
            <size val="8"/>
            <spPr>
              <a:solidFill xmlns:a="http://schemas.openxmlformats.org/drawingml/2006/main">
                <a:srgbClr val="004586"/>
              </a:solidFill>
              <a:ln xmlns:a="http://schemas.openxmlformats.org/drawingml/2006/main">
                <a:solidFill>
                  <a:srgbClr val="004586"/>
                </a:solidFill>
                <a:prstDash val="solid"/>
              </a:ln>
            </spPr>
          </marker>
          <val>
            <numRef>
              <f>'AllSortsComparison'!$E$2:$E$14</f>
            </numRef>
          </val>
        </ser>
        <ser>
          <idx val="1"/>
          <order val="1"/>
          <tx>
            <v>Arrays.sort</v>
          </tx>
          <spPr>
            <a:ln xmlns:a="http://schemas.openxmlformats.org/drawingml/2006/main" w="28800">
              <a:solidFill>
                <a:srgbClr val="00B050"/>
              </a:solidFill>
              <a:prstDash val="solid"/>
            </a:ln>
          </spPr>
          <marker>
            <symbol val="diamond"/>
            <size val="8"/>
            <spPr>
              <a:solidFill xmlns:a="http://schemas.openxmlformats.org/drawingml/2006/main">
                <a:srgbClr val="00B050"/>
              </a:solidFill>
              <a:ln xmlns:a="http://schemas.openxmlformats.org/drawingml/2006/main">
                <a:solidFill>
                  <a:srgbClr val="00B050"/>
                </a:solidFill>
                <a:prstDash val="solid"/>
              </a:ln>
            </spPr>
          </marker>
          <val>
            <numRef>
              <f>'AllSortsComparison'!$E$19:$E$30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Сравнение всех трех алгоритмов (Merge vs Arrays vs Bubble)</a:t>
            </a:r>
          </a:p>
        </rich>
      </tx>
    </title>
    <plotArea>
      <lineChart>
        <grouping val="standard"/>
        <ser>
          <idx val="0"/>
          <order val="0"/>
          <tx>
            <v>MergeSort</v>
          </tx>
          <spPr>
            <a:ln xmlns:a="http://schemas.openxmlformats.org/drawingml/2006/main" w="28800">
              <a:solidFill>
                <a:srgbClr val="004586"/>
              </a:solidFill>
              <a:prstDash val="solid"/>
            </a:ln>
          </spPr>
          <marker>
            <symbol val="square"/>
            <size val="8"/>
            <spPr>
              <a:solidFill xmlns:a="http://schemas.openxmlformats.org/drawingml/2006/main">
                <a:srgbClr val="004586"/>
              </a:solidFill>
              <a:ln xmlns:a="http://schemas.openxmlformats.org/drawingml/2006/main">
                <a:solidFill>
                  <a:srgbClr val="004586"/>
                </a:solidFill>
                <a:prstDash val="solid"/>
              </a:ln>
            </spPr>
          </marker>
          <val>
            <numRef>
              <f>'AllSortsComparison'!$E$2:$E$14</f>
            </numRef>
          </val>
        </ser>
        <ser>
          <idx val="1"/>
          <order val="1"/>
          <tx>
            <v>Arrays.sort</v>
          </tx>
          <spPr>
            <a:ln xmlns:a="http://schemas.openxmlformats.org/drawingml/2006/main" w="28800">
              <a:solidFill>
                <a:srgbClr val="00B050"/>
              </a:solidFill>
              <a:prstDash val="solid"/>
            </a:ln>
          </spPr>
          <marker>
            <symbol val="diamond"/>
            <size val="8"/>
            <spPr>
              <a:solidFill xmlns:a="http://schemas.openxmlformats.org/drawingml/2006/main">
                <a:srgbClr val="00B050"/>
              </a:solidFill>
              <a:ln xmlns:a="http://schemas.openxmlformats.org/drawingml/2006/main">
                <a:solidFill>
                  <a:srgbClr val="00B050"/>
                </a:solidFill>
                <a:prstDash val="solid"/>
              </a:ln>
            </spPr>
          </marker>
          <val>
            <numRef>
              <f>'AllSortsComparison'!$E$19:$E$30</f>
            </numRef>
          </val>
        </ser>
        <ser>
          <idx val="2"/>
          <order val="2"/>
          <tx>
            <v>BubbleSort</v>
          </tx>
          <spPr>
            <a:ln xmlns:a="http://schemas.openxmlformats.org/drawingml/2006/main" w="28800">
              <a:solidFill>
                <a:srgbClr val="FF420E"/>
              </a:solidFill>
              <a:prstDash val="solid"/>
            </a:ln>
          </spPr>
          <marker>
            <symbol val="triangle"/>
            <size val="8"/>
            <spPr>
              <a:solidFill xmlns:a="http://schemas.openxmlformats.org/drawingml/2006/main">
                <a:srgbClr val="FF420E"/>
              </a:solidFill>
              <a:ln xmlns:a="http://schemas.openxmlformats.org/drawingml/2006/main">
                <a:solidFill>
                  <a:srgbClr val="FF420E"/>
                </a:solidFill>
                <a:prstDash val="solid"/>
              </a:ln>
            </spPr>
          </marker>
          <val>
            <numRef>
              <f>'AllSortsComparison'!$E$35:$E$45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_rels/drawing2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Relationship Type="http://schemas.openxmlformats.org/officeDocument/2006/relationships/chart" Target="/xl/charts/chart8.xml" Id="rId3"/><Relationship Type="http://schemas.openxmlformats.org/officeDocument/2006/relationships/chart" Target="/xl/charts/chart9.xml" Id="rId4"/><Relationship Type="http://schemas.openxmlformats.org/officeDocument/2006/relationships/chart" Target="/xl/charts/chart10.xml" Id="rId5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1.xml" Id="rId1"/><Relationship Type="http://schemas.openxmlformats.org/officeDocument/2006/relationships/chart" Target="/xl/charts/chart12.xml" Id="rId2"/><Relationship Type="http://schemas.openxmlformats.org/officeDocument/2006/relationships/chart" Target="/xl/charts/chart13.xml" Id="rId3"/><Relationship Type="http://schemas.openxmlformats.org/officeDocument/2006/relationships/chart" Target="/xl/charts/chart14.xml" Id="rId4"/><Relationship Type="http://schemas.openxmlformats.org/officeDocument/2006/relationships/chart" Target="/xl/charts/chart15.xml" Id="rId5"/></Relationships>
</file>

<file path=xl/drawings/_rels/drawing4.xml.rels><Relationships xmlns="http://schemas.openxmlformats.org/package/2006/relationships"><Relationship Type="http://schemas.openxmlformats.org/officeDocument/2006/relationships/chart" Target="/xl/charts/chart16.xml" Id="rId1"/><Relationship Type="http://schemas.openxmlformats.org/officeDocument/2006/relationships/chart" Target="/xl/charts/chart17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0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24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47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13</col>
      <colOff>0</colOff>
      <row>47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0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24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47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13</col>
      <colOff>0</colOff>
      <row>47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0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24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47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13</col>
      <colOff>0</colOff>
      <row>47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6</col>
      <colOff>0</colOff>
      <row>0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17</row>
      <rowOff>0</rowOff>
    </from>
    <ext cx="576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9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14" customWidth="1" min="4" max="4"/>
    <col width="2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2" customWidth="1" min="15" max="15"/>
  </cols>
  <sheetData>
    <row r="1">
      <c r="A1" s="4" t="inlineStr">
        <is>
          <t>N</t>
        </is>
      </c>
      <c r="B1" s="4" t="n">
        <v>1</v>
      </c>
      <c r="C1" s="4" t="n">
        <v>2</v>
      </c>
      <c r="D1" s="4" t="n">
        <v>3</v>
      </c>
      <c r="E1" s="4" t="inlineStr">
        <is>
          <t>Среднее</t>
        </is>
      </c>
      <c r="F1" s="5" t="n"/>
      <c r="G1" s="5" t="n"/>
      <c r="H1" s="5" t="n"/>
      <c r="I1" s="5" t="n"/>
      <c r="J1" s="5" t="n"/>
      <c r="K1" s="5" t="n"/>
      <c r="L1" s="5" t="n"/>
      <c r="M1" s="5" t="n"/>
      <c r="N1" s="4" t="inlineStr">
        <is>
          <t>N</t>
        </is>
      </c>
      <c r="O1" s="4" t="inlineStr">
        <is>
          <t>x^2</t>
        </is>
      </c>
    </row>
    <row r="2">
      <c r="A2" s="6" t="n">
        <v>10</v>
      </c>
      <c r="B2" s="6" t="n">
        <v>500</v>
      </c>
      <c r="C2" s="6" t="n">
        <v>400</v>
      </c>
      <c r="D2" s="6" t="n">
        <v>400</v>
      </c>
      <c r="E2" s="6">
        <f>AVERAGE(B2:D2)</f>
        <v/>
      </c>
      <c r="F2" s="5" t="n"/>
      <c r="G2" s="5" t="n"/>
      <c r="H2" s="5" t="n"/>
      <c r="I2" s="5" t="n"/>
      <c r="J2" s="5" t="n"/>
      <c r="K2" s="5" t="n"/>
      <c r="L2" s="5" t="n"/>
      <c r="M2" s="5" t="n"/>
      <c r="N2" s="6" t="n">
        <v>10</v>
      </c>
      <c r="O2" s="6">
        <f>N2*N2</f>
        <v/>
      </c>
    </row>
    <row r="3">
      <c r="A3" s="6" t="n">
        <v>100</v>
      </c>
      <c r="B3" s="6" t="n">
        <v>9600</v>
      </c>
      <c r="C3" s="6" t="n">
        <v>9000</v>
      </c>
      <c r="D3" s="6" t="n">
        <v>9400</v>
      </c>
      <c r="E3" s="6">
        <f>AVERAGE(B3:D3)</f>
        <v/>
      </c>
      <c r="F3" s="5" t="n"/>
      <c r="G3" s="5" t="n"/>
      <c r="H3" s="5" t="n"/>
      <c r="I3" s="5" t="n"/>
      <c r="J3" s="5" t="n"/>
      <c r="K3" s="5" t="n"/>
      <c r="L3" s="5" t="n"/>
      <c r="M3" s="5" t="n"/>
      <c r="N3" s="6" t="n">
        <v>100</v>
      </c>
      <c r="O3" s="6">
        <f>N3*N3</f>
        <v/>
      </c>
    </row>
    <row r="4">
      <c r="A4" s="6" t="n">
        <v>200</v>
      </c>
      <c r="B4" s="6" t="n">
        <v>28700</v>
      </c>
      <c r="C4" s="6" t="n">
        <v>27100</v>
      </c>
      <c r="D4" s="6" t="n">
        <v>28300</v>
      </c>
      <c r="E4" s="6">
        <f>AVERAGE(B4:D4)</f>
        <v/>
      </c>
      <c r="F4" s="5" t="n"/>
      <c r="G4" s="5" t="n"/>
      <c r="H4" s="5" t="n"/>
      <c r="I4" s="5" t="n"/>
      <c r="J4" s="5" t="n"/>
      <c r="K4" s="5" t="n"/>
      <c r="L4" s="5" t="n"/>
      <c r="M4" s="5" t="n"/>
      <c r="N4" s="6" t="n">
        <v>200</v>
      </c>
      <c r="O4" s="6">
        <f>N4*N4</f>
        <v/>
      </c>
    </row>
    <row r="5">
      <c r="A5" s="6" t="n">
        <v>400</v>
      </c>
      <c r="B5" s="6" t="n">
        <v>97800</v>
      </c>
      <c r="C5" s="6" t="n">
        <v>87600</v>
      </c>
      <c r="D5" s="6" t="n">
        <v>88000</v>
      </c>
      <c r="E5" s="6">
        <f>AVERAGE(B5:D5)</f>
        <v/>
      </c>
      <c r="F5" s="5" t="n"/>
      <c r="G5" s="5" t="n"/>
      <c r="H5" s="5" t="n"/>
      <c r="I5" s="5" t="n"/>
      <c r="J5" s="5" t="n"/>
      <c r="K5" s="5" t="n"/>
      <c r="L5" s="5" t="n"/>
      <c r="M5" s="5" t="n"/>
      <c r="N5" s="6" t="n">
        <v>400</v>
      </c>
      <c r="O5" s="6">
        <f>N5*N5</f>
        <v/>
      </c>
    </row>
    <row r="6">
      <c r="A6" s="6" t="n">
        <v>800</v>
      </c>
      <c r="B6" s="6" t="n">
        <v>264800</v>
      </c>
      <c r="C6" s="6" t="n">
        <v>266200</v>
      </c>
      <c r="D6" s="6" t="n">
        <v>272000</v>
      </c>
      <c r="E6" s="6">
        <f>AVERAGE(B6:D6)</f>
        <v/>
      </c>
      <c r="F6" s="5" t="n"/>
      <c r="G6" s="5" t="n"/>
      <c r="H6" s="5" t="n"/>
      <c r="I6" s="5" t="n"/>
      <c r="J6" s="5" t="n"/>
      <c r="K6" s="5" t="n"/>
      <c r="L6" s="5" t="n"/>
      <c r="M6" s="5" t="n"/>
      <c r="N6" s="6" t="n">
        <v>800</v>
      </c>
      <c r="O6" s="6">
        <f>N6*N6</f>
        <v/>
      </c>
    </row>
    <row r="7">
      <c r="A7" s="6" t="n">
        <v>1600</v>
      </c>
      <c r="B7" s="6" t="n">
        <v>834400</v>
      </c>
      <c r="C7" s="6" t="n">
        <v>815300</v>
      </c>
      <c r="D7" s="6" t="n">
        <v>854200</v>
      </c>
      <c r="E7" s="6">
        <f>AVERAGE(B7:D7)</f>
        <v/>
      </c>
      <c r="F7" s="5" t="n"/>
      <c r="G7" s="5" t="n"/>
      <c r="H7" s="5" t="n"/>
      <c r="I7" s="5" t="n"/>
      <c r="J7" s="5" t="n"/>
      <c r="K7" s="5" t="n"/>
      <c r="L7" s="5" t="n"/>
      <c r="M7" s="5" t="n"/>
      <c r="N7" s="6" t="n">
        <v>1600</v>
      </c>
      <c r="O7" s="6">
        <f>N7*N7</f>
        <v/>
      </c>
    </row>
    <row r="8">
      <c r="A8" s="6" t="n">
        <v>3200</v>
      </c>
      <c r="B8" s="6" t="n">
        <v>2797300</v>
      </c>
      <c r="C8" s="6" t="n">
        <v>2784700</v>
      </c>
      <c r="D8" s="6" t="n">
        <v>2831200</v>
      </c>
      <c r="E8" s="6">
        <f>AVERAGE(B8:D8)</f>
        <v/>
      </c>
      <c r="F8" s="5" t="n"/>
      <c r="G8" s="5" t="n"/>
      <c r="H8" s="5" t="n"/>
      <c r="I8" s="5" t="n"/>
      <c r="J8" s="5" t="n"/>
      <c r="K8" s="5" t="n"/>
      <c r="L8" s="5" t="n"/>
      <c r="M8" s="5" t="n"/>
      <c r="N8" s="6" t="n">
        <v>3200</v>
      </c>
      <c r="O8" s="6">
        <f>N8*N8</f>
        <v/>
      </c>
    </row>
    <row r="9">
      <c r="A9" s="6" t="n">
        <v>6400</v>
      </c>
      <c r="B9" s="6" t="n">
        <v>10115200</v>
      </c>
      <c r="C9" s="6" t="n">
        <v>10005600</v>
      </c>
      <c r="D9" s="6" t="n">
        <v>9953200</v>
      </c>
      <c r="E9" s="6">
        <f>AVERAGE(B9:D9)</f>
        <v/>
      </c>
      <c r="F9" s="5" t="n"/>
      <c r="G9" s="5" t="n"/>
      <c r="H9" s="5" t="n"/>
      <c r="I9" s="5" t="n"/>
      <c r="J9" s="5" t="n"/>
      <c r="K9" s="5" t="n"/>
      <c r="L9" s="5" t="n"/>
      <c r="M9" s="5" t="n"/>
      <c r="N9" s="6" t="n">
        <v>6400</v>
      </c>
      <c r="O9" s="6">
        <f>N9*N9</f>
        <v/>
      </c>
    </row>
    <row r="10">
      <c r="A10" s="6" t="n">
        <v>12800</v>
      </c>
      <c r="B10" s="6" t="n">
        <v>37895300</v>
      </c>
      <c r="C10" s="6" t="n">
        <v>37478700</v>
      </c>
      <c r="D10" s="6" t="n">
        <v>37915800</v>
      </c>
      <c r="E10" s="6">
        <f>AVERAGE(B10:D10)</f>
        <v/>
      </c>
      <c r="F10" s="5" t="n"/>
      <c r="G10" s="5" t="n"/>
      <c r="H10" s="5" t="n"/>
      <c r="I10" s="5" t="n"/>
      <c r="J10" s="5" t="n"/>
      <c r="K10" s="5" t="n"/>
      <c r="L10" s="5" t="n"/>
      <c r="M10" s="5" t="n"/>
      <c r="N10" s="6" t="n">
        <v>12800</v>
      </c>
      <c r="O10" s="6">
        <f>N10*N10</f>
        <v/>
      </c>
    </row>
    <row r="11">
      <c r="A11" s="6" t="n">
        <v>25600</v>
      </c>
      <c r="B11" s="6" t="n">
        <v>158623200</v>
      </c>
      <c r="C11" s="6" t="n">
        <v>197411600</v>
      </c>
      <c r="D11" s="6" t="n">
        <v>197270000</v>
      </c>
      <c r="E11" s="6">
        <f>AVERAGE(B11:D11)</f>
        <v/>
      </c>
      <c r="F11" s="5" t="n"/>
      <c r="G11" s="5" t="n"/>
      <c r="H11" s="5" t="n"/>
      <c r="I11" s="5" t="n"/>
      <c r="J11" s="5" t="n"/>
      <c r="K11" s="5" t="n"/>
      <c r="L11" s="5" t="n"/>
      <c r="M11" s="5" t="n"/>
      <c r="N11" s="6" t="n">
        <v>25600</v>
      </c>
      <c r="O11" s="6">
        <f>N11*N11</f>
        <v/>
      </c>
    </row>
    <row r="12">
      <c r="A12" s="6" t="n">
        <v>51200</v>
      </c>
      <c r="B12" s="6" t="n">
        <v>1604973200</v>
      </c>
      <c r="C12" s="6" t="n">
        <v>1820630500</v>
      </c>
      <c r="D12" s="6" t="n">
        <v>1947239000</v>
      </c>
      <c r="E12" s="6">
        <f>AVERAGE(B12:D12)</f>
        <v/>
      </c>
      <c r="F12" s="5" t="n"/>
      <c r="G12" s="5" t="n"/>
      <c r="H12" s="5" t="n"/>
      <c r="I12" s="5" t="n"/>
      <c r="J12" s="5" t="n"/>
      <c r="K12" s="5" t="n"/>
      <c r="L12" s="5" t="n"/>
      <c r="M12" s="5" t="n"/>
      <c r="N12" s="6" t="n">
        <v>51200</v>
      </c>
      <c r="O12" s="6">
        <f>N12*N12</f>
        <v/>
      </c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</row>
    <row r="25">
      <c r="A25" s="4" t="inlineStr">
        <is>
          <t>N</t>
        </is>
      </c>
      <c r="B25" s="4" t="n">
        <v>1</v>
      </c>
      <c r="C25" s="4" t="n">
        <v>2</v>
      </c>
      <c r="D25" s="4" t="n">
        <v>3</v>
      </c>
      <c r="E25" s="4" t="inlineStr">
        <is>
          <t>Среднее</t>
        </is>
      </c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</row>
    <row r="26">
      <c r="A26" s="6" t="n">
        <v>10</v>
      </c>
      <c r="B26" s="6" t="n">
        <v>100</v>
      </c>
      <c r="C26" s="6" t="n">
        <v>0</v>
      </c>
      <c r="D26" s="6" t="n">
        <v>0</v>
      </c>
      <c r="E26" s="6">
        <f>AVERAGE(B26:D26)</f>
        <v/>
      </c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</row>
    <row r="27">
      <c r="A27" s="6" t="n">
        <v>100</v>
      </c>
      <c r="B27" s="6" t="n">
        <v>700</v>
      </c>
      <c r="C27" s="6" t="n">
        <v>100</v>
      </c>
      <c r="D27" s="6" t="n">
        <v>200</v>
      </c>
      <c r="E27" s="6">
        <f>AVERAGE(B27:D27)</f>
        <v/>
      </c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</row>
    <row r="28">
      <c r="A28" s="6" t="n">
        <v>200</v>
      </c>
      <c r="B28" s="6" t="n">
        <v>500</v>
      </c>
      <c r="C28" s="6" t="n">
        <v>300</v>
      </c>
      <c r="D28" s="6" t="n">
        <v>200</v>
      </c>
      <c r="E28" s="6">
        <f>AVERAGE(B28:D28)</f>
        <v/>
      </c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</row>
    <row r="29">
      <c r="A29" s="6" t="n">
        <v>400</v>
      </c>
      <c r="B29" s="6" t="n">
        <v>600</v>
      </c>
      <c r="C29" s="6" t="n">
        <v>500</v>
      </c>
      <c r="D29" s="6" t="n">
        <v>400</v>
      </c>
      <c r="E29" s="6">
        <f>AVERAGE(B29:D29)</f>
        <v/>
      </c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</row>
    <row r="30">
      <c r="A30" s="6" t="n">
        <v>800</v>
      </c>
      <c r="B30" s="6" t="n">
        <v>800</v>
      </c>
      <c r="C30" s="6" t="n">
        <v>600</v>
      </c>
      <c r="D30" s="6" t="n">
        <v>600</v>
      </c>
      <c r="E30" s="6">
        <f>AVERAGE(B30:D30)</f>
        <v/>
      </c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</row>
    <row r="31">
      <c r="A31" s="6" t="n">
        <v>1600</v>
      </c>
      <c r="B31" s="6" t="n">
        <v>1400</v>
      </c>
      <c r="C31" s="6" t="n">
        <v>900</v>
      </c>
      <c r="D31" s="6" t="n">
        <v>900</v>
      </c>
      <c r="E31" s="6">
        <f>AVERAGE(B31:D31)</f>
        <v/>
      </c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</row>
    <row r="32">
      <c r="A32" s="6" t="n">
        <v>3200</v>
      </c>
      <c r="B32" s="6" t="n">
        <v>2400</v>
      </c>
      <c r="C32" s="6" t="n">
        <v>2000</v>
      </c>
      <c r="D32" s="6" t="n">
        <v>2200</v>
      </c>
      <c r="E32" s="6">
        <f>AVERAGE(B32:D32)</f>
        <v/>
      </c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</row>
    <row r="33">
      <c r="A33" s="6" t="n">
        <v>6400</v>
      </c>
      <c r="B33" s="6" t="n">
        <v>3900</v>
      </c>
      <c r="C33" s="6" t="n">
        <v>4100</v>
      </c>
      <c r="D33" s="6" t="n">
        <v>4400</v>
      </c>
      <c r="E33" s="6">
        <f>AVERAGE(B33:D33)</f>
        <v/>
      </c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</row>
    <row r="34">
      <c r="A34" s="6" t="n">
        <v>12800</v>
      </c>
      <c r="B34" s="6" t="n">
        <v>7300</v>
      </c>
      <c r="C34" s="6" t="n">
        <v>7700</v>
      </c>
      <c r="D34" s="6" t="n">
        <v>7700</v>
      </c>
      <c r="E34" s="6">
        <f>AVERAGE(B34:D34)</f>
        <v/>
      </c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</row>
    <row r="35">
      <c r="A35" s="6" t="n">
        <v>25600</v>
      </c>
      <c r="B35" s="6" t="n">
        <v>15600</v>
      </c>
      <c r="C35" s="6" t="n">
        <v>14900</v>
      </c>
      <c r="D35" s="6" t="n">
        <v>14900</v>
      </c>
      <c r="E35" s="6">
        <f>AVERAGE(B35:D35)</f>
        <v/>
      </c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</row>
    <row r="36">
      <c r="A36" s="6" t="n">
        <v>51200</v>
      </c>
      <c r="B36" s="6" t="n">
        <v>47400</v>
      </c>
      <c r="C36" s="6" t="n">
        <v>31200</v>
      </c>
      <c r="D36" s="6" t="n">
        <v>31300</v>
      </c>
      <c r="E36" s="6">
        <f>AVERAGE(B36:D36)</f>
        <v/>
      </c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</row>
    <row r="48">
      <c r="A48" s="4" t="inlineStr">
        <is>
          <t>N</t>
        </is>
      </c>
      <c r="B48" s="4" t="n">
        <v>1</v>
      </c>
      <c r="C48" s="4" t="n">
        <v>2</v>
      </c>
      <c r="D48" s="4" t="n">
        <v>3</v>
      </c>
      <c r="E48" s="4" t="inlineStr">
        <is>
          <t>Среднее</t>
        </is>
      </c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</row>
    <row r="49">
      <c r="A49" s="6" t="n">
        <v>10</v>
      </c>
      <c r="B49" s="6" t="n">
        <v>300</v>
      </c>
      <c r="C49" s="6" t="n">
        <v>100</v>
      </c>
      <c r="D49" s="6" t="n">
        <v>100</v>
      </c>
      <c r="E49" s="6">
        <f>AVERAGE(B49:D49)</f>
        <v/>
      </c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</row>
    <row r="50">
      <c r="A50" s="6" t="n">
        <v>100</v>
      </c>
      <c r="B50" s="6" t="n">
        <v>3200</v>
      </c>
      <c r="C50" s="6" t="n">
        <v>3200</v>
      </c>
      <c r="D50" s="6" t="n">
        <v>3100</v>
      </c>
      <c r="E50" s="6">
        <f>AVERAGE(B50:D50)</f>
        <v/>
      </c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</row>
    <row r="51">
      <c r="A51" s="6" t="n">
        <v>200</v>
      </c>
      <c r="B51" s="6" t="n">
        <v>12000</v>
      </c>
      <c r="C51" s="6" t="n">
        <v>11200</v>
      </c>
      <c r="D51" s="6" t="n">
        <v>14700</v>
      </c>
      <c r="E51" s="6">
        <f>AVERAGE(B51:D51)</f>
        <v/>
      </c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</row>
    <row r="52">
      <c r="A52" s="6" t="n">
        <v>400</v>
      </c>
      <c r="B52" s="6" t="n">
        <v>40300</v>
      </c>
      <c r="C52" s="6" t="n">
        <v>41600</v>
      </c>
      <c r="D52" s="6" t="n">
        <v>37400</v>
      </c>
      <c r="E52" s="6">
        <f>AVERAGE(B52:D52)</f>
        <v/>
      </c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</row>
    <row r="53">
      <c r="A53" s="6" t="n">
        <v>800</v>
      </c>
      <c r="B53" s="6" t="n">
        <v>169900</v>
      </c>
      <c r="C53" s="6" t="n">
        <v>144000</v>
      </c>
      <c r="D53" s="6" t="n">
        <v>138800</v>
      </c>
      <c r="E53" s="6">
        <f>AVERAGE(B53:D53)</f>
        <v/>
      </c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</row>
    <row r="54">
      <c r="A54" s="6" t="n">
        <v>1600</v>
      </c>
      <c r="B54" s="6" t="n">
        <v>744800</v>
      </c>
      <c r="C54" s="6" t="n">
        <v>765700</v>
      </c>
      <c r="D54" s="6" t="n">
        <v>739200</v>
      </c>
      <c r="E54" s="6">
        <f>AVERAGE(B54:D54)</f>
        <v/>
      </c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</row>
    <row r="55">
      <c r="A55" s="6" t="n">
        <v>3200</v>
      </c>
      <c r="B55" s="6" t="n">
        <v>3033900</v>
      </c>
      <c r="C55" s="6" t="n">
        <v>3033900</v>
      </c>
      <c r="D55" s="6" t="n">
        <v>3070200</v>
      </c>
      <c r="E55" s="6">
        <f>AVERAGE(B55:D55)</f>
        <v/>
      </c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</row>
    <row r="56">
      <c r="A56" s="6" t="n">
        <v>6400</v>
      </c>
      <c r="B56" s="6" t="n">
        <v>12335000</v>
      </c>
      <c r="C56" s="6" t="n">
        <v>12259700</v>
      </c>
      <c r="D56" s="6" t="n">
        <v>12056000</v>
      </c>
      <c r="E56" s="6">
        <f>AVERAGE(B56:D56)</f>
        <v/>
      </c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</row>
    <row r="57">
      <c r="A57" s="6" t="n">
        <v>12800</v>
      </c>
      <c r="B57" s="6" t="n">
        <v>36495100</v>
      </c>
      <c r="C57" s="6" t="n">
        <v>39764900</v>
      </c>
      <c r="D57" s="6" t="n">
        <v>54840500</v>
      </c>
      <c r="E57" s="6">
        <f>AVERAGE(B57:D57)</f>
        <v/>
      </c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</row>
    <row r="58">
      <c r="A58" s="6" t="n">
        <v>25600</v>
      </c>
      <c r="B58" s="6" t="n">
        <v>210565000</v>
      </c>
      <c r="C58" s="6" t="n">
        <v>211500000</v>
      </c>
      <c r="D58" s="6" t="n">
        <v>213087200</v>
      </c>
      <c r="E58" s="6">
        <f>AVERAGE(B58:D58)</f>
        <v/>
      </c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</row>
    <row r="59">
      <c r="A59" s="6" t="n">
        <v>51200</v>
      </c>
      <c r="B59" s="6" t="n">
        <v>801242600</v>
      </c>
      <c r="C59" s="6" t="n">
        <v>820429600</v>
      </c>
      <c r="D59" s="6" t="n">
        <v>831842100</v>
      </c>
      <c r="E59" s="6">
        <f>AVERAGE(B59:D59)</f>
        <v/>
      </c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2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20" customWidth="1" min="15" max="15"/>
  </cols>
  <sheetData>
    <row r="1">
      <c r="A1" s="4" t="inlineStr">
        <is>
          <t>N</t>
        </is>
      </c>
      <c r="B1" s="4" t="n">
        <v>1</v>
      </c>
      <c r="C1" s="4" t="n">
        <v>2</v>
      </c>
      <c r="D1" s="4" t="n">
        <v>3</v>
      </c>
      <c r="E1" s="4" t="inlineStr">
        <is>
          <t>Среднее</t>
        </is>
      </c>
      <c r="F1" s="5" t="n"/>
      <c r="G1" s="5" t="n"/>
      <c r="H1" s="5" t="n"/>
      <c r="I1" s="5" t="n"/>
      <c r="J1" s="5" t="n"/>
      <c r="K1" s="5" t="n"/>
      <c r="L1" s="5" t="n"/>
      <c r="M1" s="5" t="n"/>
      <c r="N1" s="4" t="inlineStr">
        <is>
          <t>N</t>
        </is>
      </c>
      <c r="O1" s="4" t="inlineStr">
        <is>
          <t>nlogn</t>
        </is>
      </c>
    </row>
    <row r="2">
      <c r="A2" s="6" t="n">
        <v>10</v>
      </c>
      <c r="B2" s="6" t="n">
        <v>125900</v>
      </c>
      <c r="C2" s="6" t="n">
        <v>3100</v>
      </c>
      <c r="D2" s="6" t="n">
        <v>2300</v>
      </c>
      <c r="E2" s="6">
        <f>AVERAGE(B2:D2)</f>
        <v/>
      </c>
      <c r="F2" s="5" t="n"/>
      <c r="G2" s="5" t="n"/>
      <c r="H2" s="5" t="n"/>
      <c r="I2" s="5" t="n"/>
      <c r="J2" s="5" t="n"/>
      <c r="K2" s="5" t="n"/>
      <c r="L2" s="5" t="n"/>
      <c r="M2" s="5" t="n"/>
      <c r="N2" s="6" t="n">
        <v>10</v>
      </c>
      <c r="O2" s="6">
        <f>N2*LOG(N2, 2)</f>
        <v/>
      </c>
    </row>
    <row r="3">
      <c r="A3" s="6" t="n">
        <v>100</v>
      </c>
      <c r="B3" s="6" t="n">
        <v>55600</v>
      </c>
      <c r="C3" s="6" t="n">
        <v>32700</v>
      </c>
      <c r="D3" s="6" t="n">
        <v>32300</v>
      </c>
      <c r="E3" s="6">
        <f>AVERAGE(B3:D3)</f>
        <v/>
      </c>
      <c r="F3" s="5" t="n"/>
      <c r="G3" s="5" t="n"/>
      <c r="H3" s="5" t="n"/>
      <c r="I3" s="5" t="n"/>
      <c r="J3" s="5" t="n"/>
      <c r="K3" s="5" t="n"/>
      <c r="L3" s="5" t="n"/>
      <c r="M3" s="5" t="n"/>
      <c r="N3" s="6" t="n">
        <v>100</v>
      </c>
      <c r="O3" s="6">
        <f>N3*LOG(N3, 2)</f>
        <v/>
      </c>
    </row>
    <row r="4">
      <c r="A4" s="6" t="n">
        <v>200</v>
      </c>
      <c r="B4" s="6" t="n">
        <v>80000</v>
      </c>
      <c r="C4" s="6" t="n">
        <v>76700</v>
      </c>
      <c r="D4" s="6" t="n">
        <v>64800</v>
      </c>
      <c r="E4" s="6">
        <f>AVERAGE(B4:D4)</f>
        <v/>
      </c>
      <c r="F4" s="5" t="n"/>
      <c r="G4" s="5" t="n"/>
      <c r="H4" s="5" t="n"/>
      <c r="I4" s="5" t="n"/>
      <c r="J4" s="5" t="n"/>
      <c r="K4" s="5" t="n"/>
      <c r="L4" s="5" t="n"/>
      <c r="M4" s="5" t="n"/>
      <c r="N4" s="6" t="n">
        <v>200</v>
      </c>
      <c r="O4" s="6">
        <f>N4*LOG(N4, 2)</f>
        <v/>
      </c>
    </row>
    <row r="5">
      <c r="A5" s="6" t="n">
        <v>400</v>
      </c>
      <c r="B5" s="6" t="n">
        <v>33800</v>
      </c>
      <c r="C5" s="6" t="n">
        <v>39900</v>
      </c>
      <c r="D5" s="6" t="n">
        <v>35900</v>
      </c>
      <c r="E5" s="6">
        <f>AVERAGE(B5:D5)</f>
        <v/>
      </c>
      <c r="F5" s="5" t="n"/>
      <c r="G5" s="5" t="n"/>
      <c r="H5" s="5" t="n"/>
      <c r="I5" s="5" t="n"/>
      <c r="J5" s="5" t="n"/>
      <c r="K5" s="5" t="n"/>
      <c r="L5" s="5" t="n"/>
      <c r="M5" s="5" t="n"/>
      <c r="N5" s="6" t="n">
        <v>400</v>
      </c>
      <c r="O5" s="6">
        <f>N5*LOG(N5, 2)</f>
        <v/>
      </c>
    </row>
    <row r="6">
      <c r="A6" s="6" t="n">
        <v>800</v>
      </c>
      <c r="B6" s="6" t="n">
        <v>70200</v>
      </c>
      <c r="C6" s="6" t="n">
        <v>74400</v>
      </c>
      <c r="D6" s="6" t="n">
        <v>74500</v>
      </c>
      <c r="E6" s="6">
        <f>AVERAGE(B6:D6)</f>
        <v/>
      </c>
      <c r="F6" s="5" t="n"/>
      <c r="G6" s="5" t="n"/>
      <c r="H6" s="5" t="n"/>
      <c r="I6" s="5" t="n"/>
      <c r="J6" s="5" t="n"/>
      <c r="K6" s="5" t="n"/>
      <c r="L6" s="5" t="n"/>
      <c r="M6" s="5" t="n"/>
      <c r="N6" s="6" t="n">
        <v>800</v>
      </c>
      <c r="O6" s="6">
        <f>N6*LOG(N6, 2)</f>
        <v/>
      </c>
    </row>
    <row r="7">
      <c r="A7" s="6" t="n">
        <v>1600</v>
      </c>
      <c r="B7" s="6" t="n">
        <v>150900</v>
      </c>
      <c r="C7" s="6" t="n">
        <v>156600</v>
      </c>
      <c r="D7" s="6" t="n">
        <v>157500</v>
      </c>
      <c r="E7" s="6">
        <f>AVERAGE(B7:D7)</f>
        <v/>
      </c>
      <c r="F7" s="5" t="n"/>
      <c r="G7" s="5" t="n"/>
      <c r="H7" s="5" t="n"/>
      <c r="I7" s="5" t="n"/>
      <c r="J7" s="5" t="n"/>
      <c r="K7" s="5" t="n"/>
      <c r="L7" s="5" t="n"/>
      <c r="M7" s="5" t="n"/>
      <c r="N7" s="6" t="n">
        <v>1600</v>
      </c>
      <c r="O7" s="6">
        <f>N7*LOG(N7, 2)</f>
        <v/>
      </c>
    </row>
    <row r="8">
      <c r="A8" s="6" t="n">
        <v>3200</v>
      </c>
      <c r="B8" s="6" t="n">
        <v>322500</v>
      </c>
      <c r="C8" s="6" t="n">
        <v>318200</v>
      </c>
      <c r="D8" s="6" t="n">
        <v>265300</v>
      </c>
      <c r="E8" s="6">
        <f>AVERAGE(B8:D8)</f>
        <v/>
      </c>
      <c r="F8" s="5" t="n"/>
      <c r="G8" s="5" t="n"/>
      <c r="H8" s="5" t="n"/>
      <c r="I8" s="5" t="n"/>
      <c r="J8" s="5" t="n"/>
      <c r="K8" s="5" t="n"/>
      <c r="L8" s="5" t="n"/>
      <c r="M8" s="5" t="n"/>
      <c r="N8" s="6" t="n">
        <v>3200</v>
      </c>
      <c r="O8" s="6">
        <f>N8*LOG(N8, 2)</f>
        <v/>
      </c>
    </row>
    <row r="9">
      <c r="A9" s="6" t="n">
        <v>6400</v>
      </c>
      <c r="B9" s="6" t="n">
        <v>509400</v>
      </c>
      <c r="C9" s="6" t="n">
        <v>460000</v>
      </c>
      <c r="D9" s="6" t="n">
        <v>469100</v>
      </c>
      <c r="E9" s="6">
        <f>AVERAGE(B9:D9)</f>
        <v/>
      </c>
      <c r="F9" s="5" t="n"/>
      <c r="G9" s="5" t="n"/>
      <c r="H9" s="5" t="n"/>
      <c r="I9" s="5" t="n"/>
      <c r="J9" s="5" t="n"/>
      <c r="K9" s="5" t="n"/>
      <c r="L9" s="5" t="n"/>
      <c r="M9" s="5" t="n"/>
      <c r="N9" s="6" t="n">
        <v>6400</v>
      </c>
      <c r="O9" s="6">
        <f>N9*LOG(N9, 2)</f>
        <v/>
      </c>
    </row>
    <row r="10">
      <c r="A10" s="6" t="n">
        <v>12800</v>
      </c>
      <c r="B10" s="6" t="n">
        <v>986500</v>
      </c>
      <c r="C10" s="6" t="n">
        <v>977000</v>
      </c>
      <c r="D10" s="6" t="n">
        <v>1128200</v>
      </c>
      <c r="E10" s="6">
        <f>AVERAGE(B10:D10)</f>
        <v/>
      </c>
      <c r="F10" s="5" t="n"/>
      <c r="G10" s="5" t="n"/>
      <c r="H10" s="5" t="n"/>
      <c r="I10" s="5" t="n"/>
      <c r="J10" s="5" t="n"/>
      <c r="K10" s="5" t="n"/>
      <c r="L10" s="5" t="n"/>
      <c r="M10" s="5" t="n"/>
      <c r="N10" s="6" t="n">
        <v>12800</v>
      </c>
      <c r="O10" s="6">
        <f>N10*LOG(N10, 2)</f>
        <v/>
      </c>
    </row>
    <row r="11">
      <c r="A11" s="6" t="n">
        <v>25600</v>
      </c>
      <c r="B11" s="6" t="n">
        <v>2576200</v>
      </c>
      <c r="C11" s="6" t="n">
        <v>2386200</v>
      </c>
      <c r="D11" s="6" t="n">
        <v>2062600</v>
      </c>
      <c r="E11" s="6">
        <f>AVERAGE(B11:D11)</f>
        <v/>
      </c>
      <c r="F11" s="5" t="n"/>
      <c r="G11" s="5" t="n"/>
      <c r="H11" s="5" t="n"/>
      <c r="I11" s="5" t="n"/>
      <c r="J11" s="5" t="n"/>
      <c r="K11" s="5" t="n"/>
      <c r="L11" s="5" t="n"/>
      <c r="M11" s="5" t="n"/>
      <c r="N11" s="6" t="n">
        <v>25600</v>
      </c>
      <c r="O11" s="6">
        <f>N11*LOG(N11, 2)</f>
        <v/>
      </c>
    </row>
    <row r="12">
      <c r="A12" s="6" t="n">
        <v>51200</v>
      </c>
      <c r="B12" s="6" t="n">
        <v>5390700</v>
      </c>
      <c r="C12" s="6" t="n">
        <v>6168700</v>
      </c>
      <c r="D12" s="6" t="n">
        <v>5647100</v>
      </c>
      <c r="E12" s="6">
        <f>AVERAGE(B12:D12)</f>
        <v/>
      </c>
      <c r="F12" s="5" t="n"/>
      <c r="G12" s="5" t="n"/>
      <c r="H12" s="5" t="n"/>
      <c r="I12" s="5" t="n"/>
      <c r="J12" s="5" t="n"/>
      <c r="K12" s="5" t="n"/>
      <c r="L12" s="5" t="n"/>
      <c r="M12" s="5" t="n"/>
      <c r="N12" s="6" t="n">
        <v>51200</v>
      </c>
      <c r="O12" s="6">
        <f>N12*LOG(N12, 2)</f>
        <v/>
      </c>
    </row>
    <row r="13">
      <c r="A13" s="6" t="n">
        <v>102400</v>
      </c>
      <c r="B13" s="6" t="n">
        <v>9067400</v>
      </c>
      <c r="C13" s="6" t="n">
        <v>9002600</v>
      </c>
      <c r="D13" s="6" t="n">
        <v>7931800</v>
      </c>
      <c r="E13" s="6">
        <f>AVERAGE(B13:D13)</f>
        <v/>
      </c>
      <c r="F13" s="5" t="n"/>
      <c r="G13" s="5" t="n"/>
      <c r="H13" s="5" t="n"/>
      <c r="I13" s="5" t="n"/>
      <c r="J13" s="5" t="n"/>
      <c r="K13" s="5" t="n"/>
      <c r="L13" s="5" t="n"/>
      <c r="M13" s="5" t="n"/>
      <c r="N13" s="6" t="n">
        <v>102400</v>
      </c>
      <c r="O13" s="6">
        <f>N13*LOG(N13, 2)</f>
        <v/>
      </c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</row>
    <row r="25">
      <c r="A25" s="4" t="inlineStr">
        <is>
          <t>N</t>
        </is>
      </c>
      <c r="B25" s="4" t="n">
        <v>1</v>
      </c>
      <c r="C25" s="4" t="n">
        <v>2</v>
      </c>
      <c r="D25" s="4" t="n">
        <v>3</v>
      </c>
      <c r="E25" s="4" t="inlineStr">
        <is>
          <t>Среднее</t>
        </is>
      </c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</row>
    <row r="26">
      <c r="A26" s="6" t="n">
        <v>10</v>
      </c>
      <c r="B26" s="6" t="n">
        <v>900</v>
      </c>
      <c r="C26" s="6" t="n">
        <v>400</v>
      </c>
      <c r="D26" s="6" t="n">
        <v>300</v>
      </c>
      <c r="E26" s="6">
        <f>AVERAGE(B26:D26)</f>
        <v/>
      </c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</row>
    <row r="27">
      <c r="A27" s="6" t="n">
        <v>100</v>
      </c>
      <c r="B27" s="6" t="n">
        <v>3000</v>
      </c>
      <c r="C27" s="6" t="n">
        <v>4400</v>
      </c>
      <c r="D27" s="6" t="n">
        <v>2600</v>
      </c>
      <c r="E27" s="6">
        <f>AVERAGE(B27:D27)</f>
        <v/>
      </c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</row>
    <row r="28">
      <c r="A28" s="6" t="n">
        <v>200</v>
      </c>
      <c r="B28" s="6" t="n">
        <v>7100</v>
      </c>
      <c r="C28" s="6" t="n">
        <v>5400</v>
      </c>
      <c r="D28" s="6" t="n">
        <v>5300</v>
      </c>
      <c r="E28" s="6">
        <f>AVERAGE(B28:D28)</f>
        <v/>
      </c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</row>
    <row r="29">
      <c r="A29" s="6" t="n">
        <v>400</v>
      </c>
      <c r="B29" s="6" t="n">
        <v>14900</v>
      </c>
      <c r="C29" s="6" t="n">
        <v>16200</v>
      </c>
      <c r="D29" s="6" t="n">
        <v>15700</v>
      </c>
      <c r="E29" s="6">
        <f>AVERAGE(B29:D29)</f>
        <v/>
      </c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</row>
    <row r="30">
      <c r="A30" s="6" t="n">
        <v>800</v>
      </c>
      <c r="B30" s="6" t="n">
        <v>31200</v>
      </c>
      <c r="C30" s="6" t="n">
        <v>28600</v>
      </c>
      <c r="D30" s="6" t="n">
        <v>24500</v>
      </c>
      <c r="E30" s="6">
        <f>AVERAGE(B30:D30)</f>
        <v/>
      </c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</row>
    <row r="31">
      <c r="A31" s="6" t="n">
        <v>1600</v>
      </c>
      <c r="B31" s="6" t="n">
        <v>44100</v>
      </c>
      <c r="C31" s="6" t="n">
        <v>41400</v>
      </c>
      <c r="D31" s="6" t="n">
        <v>53100</v>
      </c>
      <c r="E31" s="6">
        <f>AVERAGE(B31:D31)</f>
        <v/>
      </c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</row>
    <row r="32">
      <c r="A32" s="6" t="n">
        <v>3200</v>
      </c>
      <c r="B32" s="6" t="n">
        <v>108400</v>
      </c>
      <c r="C32" s="6" t="n">
        <v>91000</v>
      </c>
      <c r="D32" s="6" t="n">
        <v>85100</v>
      </c>
      <c r="E32" s="6">
        <f>AVERAGE(B32:D32)</f>
        <v/>
      </c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</row>
    <row r="33">
      <c r="A33" s="6" t="n">
        <v>6400</v>
      </c>
      <c r="B33" s="6" t="n">
        <v>287100</v>
      </c>
      <c r="C33" s="6" t="n">
        <v>282500</v>
      </c>
      <c r="D33" s="6" t="n">
        <v>308900</v>
      </c>
      <c r="E33" s="6">
        <f>AVERAGE(B33:D33)</f>
        <v/>
      </c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</row>
    <row r="34">
      <c r="A34" s="6" t="n">
        <v>12800</v>
      </c>
      <c r="B34" s="6" t="n">
        <v>588700</v>
      </c>
      <c r="C34" s="6" t="n">
        <v>381200</v>
      </c>
      <c r="D34" s="6" t="n">
        <v>375500</v>
      </c>
      <c r="E34" s="6">
        <f>AVERAGE(B34:D34)</f>
        <v/>
      </c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</row>
    <row r="35">
      <c r="A35" s="6" t="n">
        <v>25600</v>
      </c>
      <c r="B35" s="6" t="n">
        <v>1149800</v>
      </c>
      <c r="C35" s="6" t="n">
        <v>825000</v>
      </c>
      <c r="D35" s="6" t="n">
        <v>788900</v>
      </c>
      <c r="E35" s="6">
        <f>AVERAGE(B35:D35)</f>
        <v/>
      </c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</row>
    <row r="36">
      <c r="A36" s="6" t="n">
        <v>51200</v>
      </c>
      <c r="B36" s="6" t="n">
        <v>1746800</v>
      </c>
      <c r="C36" s="6" t="n">
        <v>1775600</v>
      </c>
      <c r="D36" s="6" t="n">
        <v>1743400</v>
      </c>
      <c r="E36" s="6">
        <f>AVERAGE(B36:D36)</f>
        <v/>
      </c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</row>
    <row r="37">
      <c r="A37" s="6" t="n">
        <v>102400</v>
      </c>
      <c r="B37" s="6" t="n">
        <v>3475600</v>
      </c>
      <c r="C37" s="6" t="n">
        <v>3855800</v>
      </c>
      <c r="D37" s="6" t="n">
        <v>5780400</v>
      </c>
      <c r="E37" s="6">
        <f>AVERAGE(B37:D37)</f>
        <v/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</row>
    <row r="48">
      <c r="A48" s="4" t="inlineStr">
        <is>
          <t>N</t>
        </is>
      </c>
      <c r="B48" s="4" t="n">
        <v>1</v>
      </c>
      <c r="C48" s="4" t="n">
        <v>2</v>
      </c>
      <c r="D48" s="4" t="n">
        <v>3</v>
      </c>
      <c r="E48" s="4" t="inlineStr">
        <is>
          <t>Среднее</t>
        </is>
      </c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</row>
    <row r="49">
      <c r="A49" s="6" t="n">
        <v>10</v>
      </c>
      <c r="B49" s="6" t="n">
        <v>2700</v>
      </c>
      <c r="C49" s="6" t="n">
        <v>400</v>
      </c>
      <c r="D49" s="6" t="n">
        <v>300</v>
      </c>
      <c r="E49" s="6">
        <f>AVERAGE(B49:D49)</f>
        <v/>
      </c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</row>
    <row r="50">
      <c r="A50" s="6" t="n">
        <v>100</v>
      </c>
      <c r="B50" s="6" t="n">
        <v>3600</v>
      </c>
      <c r="C50" s="6" t="n">
        <v>3300</v>
      </c>
      <c r="D50" s="6" t="n">
        <v>3000</v>
      </c>
      <c r="E50" s="6">
        <f>AVERAGE(B50:D50)</f>
        <v/>
      </c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</row>
    <row r="51">
      <c r="A51" s="6" t="n">
        <v>200</v>
      </c>
      <c r="B51" s="6" t="n">
        <v>7400</v>
      </c>
      <c r="C51" s="6" t="n">
        <v>6600</v>
      </c>
      <c r="D51" s="6" t="n">
        <v>6500</v>
      </c>
      <c r="E51" s="6">
        <f>AVERAGE(B51:D51)</f>
        <v/>
      </c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</row>
    <row r="52">
      <c r="A52" s="6" t="n">
        <v>400</v>
      </c>
      <c r="B52" s="6" t="n">
        <v>15000</v>
      </c>
      <c r="C52" s="6" t="n">
        <v>13000</v>
      </c>
      <c r="D52" s="6" t="n">
        <v>13100</v>
      </c>
      <c r="E52" s="6">
        <f>AVERAGE(B52:D52)</f>
        <v/>
      </c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</row>
    <row r="53">
      <c r="A53" s="6" t="n">
        <v>800</v>
      </c>
      <c r="B53" s="6" t="n">
        <v>33000</v>
      </c>
      <c r="C53" s="6" t="n">
        <v>28100</v>
      </c>
      <c r="D53" s="6" t="n">
        <v>32100</v>
      </c>
      <c r="E53" s="6">
        <f>AVERAGE(B53:D53)</f>
        <v/>
      </c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</row>
    <row r="54">
      <c r="A54" s="6" t="n">
        <v>1600</v>
      </c>
      <c r="B54" s="6" t="n">
        <v>54900</v>
      </c>
      <c r="C54" s="6" t="n">
        <v>53800</v>
      </c>
      <c r="D54" s="6" t="n">
        <v>53800</v>
      </c>
      <c r="E54" s="6">
        <f>AVERAGE(B54:D54)</f>
        <v/>
      </c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</row>
    <row r="55">
      <c r="A55" s="6" t="n">
        <v>3200</v>
      </c>
      <c r="B55" s="6" t="n">
        <v>111600</v>
      </c>
      <c r="C55" s="6" t="n">
        <v>111900</v>
      </c>
      <c r="D55" s="6" t="n">
        <v>110400</v>
      </c>
      <c r="E55" s="6">
        <f>AVERAGE(B55:D55)</f>
        <v/>
      </c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</row>
    <row r="56">
      <c r="A56" s="6" t="n">
        <v>6400</v>
      </c>
      <c r="B56" s="6" t="n">
        <v>222300</v>
      </c>
      <c r="C56" s="6" t="n">
        <v>226900</v>
      </c>
      <c r="D56" s="6" t="n">
        <v>227400</v>
      </c>
      <c r="E56" s="6">
        <f>AVERAGE(B56:D56)</f>
        <v/>
      </c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</row>
    <row r="57">
      <c r="A57" s="6" t="n">
        <v>12800</v>
      </c>
      <c r="B57" s="6" t="n">
        <v>473900</v>
      </c>
      <c r="C57" s="6" t="n">
        <v>464600</v>
      </c>
      <c r="D57" s="6" t="n">
        <v>461900</v>
      </c>
      <c r="E57" s="6">
        <f>AVERAGE(B57:D57)</f>
        <v/>
      </c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</row>
    <row r="58">
      <c r="A58" s="6" t="n">
        <v>25600</v>
      </c>
      <c r="B58" s="6" t="n">
        <v>817100</v>
      </c>
      <c r="C58" s="6" t="n">
        <v>805000</v>
      </c>
      <c r="D58" s="6" t="n">
        <v>514800</v>
      </c>
      <c r="E58" s="6">
        <f>AVERAGE(B58:D58)</f>
        <v/>
      </c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</row>
    <row r="59">
      <c r="A59" s="6" t="n">
        <v>51200</v>
      </c>
      <c r="B59" s="6" t="n">
        <v>1056200</v>
      </c>
      <c r="C59" s="6" t="n">
        <v>1091300</v>
      </c>
      <c r="D59" s="6" t="n">
        <v>1109000</v>
      </c>
      <c r="E59" s="6">
        <f>AVERAGE(B59:D59)</f>
        <v/>
      </c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</row>
    <row r="60">
      <c r="A60" s="6" t="n">
        <v>102400</v>
      </c>
      <c r="B60" s="6" t="n">
        <v>2334100</v>
      </c>
      <c r="C60" s="6" t="n">
        <v>2372500</v>
      </c>
      <c r="D60" s="6" t="n">
        <v>4095300</v>
      </c>
      <c r="E60" s="6">
        <f>AVERAGE(B60:D60)</f>
        <v/>
      </c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2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20" customWidth="1" min="15" max="15"/>
  </cols>
  <sheetData>
    <row r="1">
      <c r="A1" s="4" t="inlineStr">
        <is>
          <t>N</t>
        </is>
      </c>
      <c r="B1" s="4" t="n">
        <v>1</v>
      </c>
      <c r="C1" s="4" t="n">
        <v>2</v>
      </c>
      <c r="D1" s="4" t="n">
        <v>3</v>
      </c>
      <c r="E1" s="4" t="inlineStr">
        <is>
          <t>Среднее</t>
        </is>
      </c>
      <c r="F1" s="5" t="n"/>
      <c r="G1" s="5" t="n"/>
      <c r="H1" s="5" t="n"/>
      <c r="I1" s="5" t="n"/>
      <c r="J1" s="5" t="n"/>
      <c r="K1" s="5" t="n"/>
      <c r="L1" s="5" t="n"/>
      <c r="M1" s="5" t="n"/>
      <c r="N1" s="4" t="inlineStr">
        <is>
          <t>N</t>
        </is>
      </c>
      <c r="O1" s="4" t="inlineStr">
        <is>
          <t>nlogn</t>
        </is>
      </c>
    </row>
    <row r="2">
      <c r="A2" s="6" t="n">
        <v>10</v>
      </c>
      <c r="B2" s="6" t="n">
        <v>1528600</v>
      </c>
      <c r="C2" s="6" t="n">
        <v>2400</v>
      </c>
      <c r="D2" s="6" t="n">
        <v>1900</v>
      </c>
      <c r="E2" s="6">
        <f>AVERAGE(B2:D2)</f>
        <v/>
      </c>
      <c r="F2" s="5" t="n"/>
      <c r="G2" s="5" t="n"/>
      <c r="H2" s="5" t="n"/>
      <c r="I2" s="5" t="n"/>
      <c r="J2" s="5" t="n"/>
      <c r="K2" s="5" t="n"/>
      <c r="L2" s="5" t="n"/>
      <c r="M2" s="5" t="n"/>
      <c r="N2" s="6" t="n">
        <v>10</v>
      </c>
      <c r="O2" s="6">
        <f>N2*LOG(N2, 2)</f>
        <v/>
      </c>
    </row>
    <row r="3">
      <c r="A3" s="6" t="n">
        <v>100</v>
      </c>
      <c r="B3" s="6" t="n">
        <v>1403600</v>
      </c>
      <c r="C3" s="6" t="n">
        <v>30400</v>
      </c>
      <c r="D3" s="6" t="n">
        <v>327900</v>
      </c>
      <c r="E3" s="6">
        <f>AVERAGE(B3:D3)</f>
        <v/>
      </c>
      <c r="F3" s="5" t="n"/>
      <c r="G3" s="5" t="n"/>
      <c r="H3" s="5" t="n"/>
      <c r="I3" s="5" t="n"/>
      <c r="J3" s="5" t="n"/>
      <c r="K3" s="5" t="n"/>
      <c r="L3" s="5" t="n"/>
      <c r="M3" s="5" t="n"/>
      <c r="N3" s="6" t="n">
        <v>100</v>
      </c>
      <c r="O3" s="6">
        <f>N3*LOG(N3, 2)</f>
        <v/>
      </c>
    </row>
    <row r="4">
      <c r="A4" s="6" t="n">
        <v>200</v>
      </c>
      <c r="B4" s="6" t="n">
        <v>60900</v>
      </c>
      <c r="C4" s="6" t="n">
        <v>54800</v>
      </c>
      <c r="D4" s="6" t="n">
        <v>45900</v>
      </c>
      <c r="E4" s="6">
        <f>AVERAGE(B4:D4)</f>
        <v/>
      </c>
      <c r="F4" s="5" t="n"/>
      <c r="G4" s="5" t="n"/>
      <c r="H4" s="5" t="n"/>
      <c r="I4" s="5" t="n"/>
      <c r="J4" s="5" t="n"/>
      <c r="K4" s="5" t="n"/>
      <c r="L4" s="5" t="n"/>
      <c r="M4" s="5" t="n"/>
      <c r="N4" s="6" t="n">
        <v>200</v>
      </c>
      <c r="O4" s="6">
        <f>N4*LOG(N4, 2)</f>
        <v/>
      </c>
    </row>
    <row r="5">
      <c r="A5" s="6" t="n">
        <v>400</v>
      </c>
      <c r="B5" s="6" t="n">
        <v>108500</v>
      </c>
      <c r="C5" s="6" t="n">
        <v>89500</v>
      </c>
      <c r="D5" s="6" t="n">
        <v>94400</v>
      </c>
      <c r="E5" s="6">
        <f>AVERAGE(B5:D5)</f>
        <v/>
      </c>
      <c r="F5" s="5" t="n"/>
      <c r="G5" s="5" t="n"/>
      <c r="H5" s="5" t="n"/>
      <c r="I5" s="5" t="n"/>
      <c r="J5" s="5" t="n"/>
      <c r="K5" s="5" t="n"/>
      <c r="L5" s="5" t="n"/>
      <c r="M5" s="5" t="n"/>
      <c r="N5" s="6" t="n">
        <v>400</v>
      </c>
      <c r="O5" s="6">
        <f>N5*LOG(N5, 2)</f>
        <v/>
      </c>
    </row>
    <row r="6">
      <c r="A6" s="6" t="n">
        <v>800</v>
      </c>
      <c r="B6" s="6" t="n">
        <v>205700</v>
      </c>
      <c r="C6" s="6" t="n">
        <v>188700</v>
      </c>
      <c r="D6" s="6" t="n">
        <v>233800</v>
      </c>
      <c r="E6" s="6">
        <f>AVERAGE(B6:D6)</f>
        <v/>
      </c>
      <c r="F6" s="5" t="n"/>
      <c r="G6" s="5" t="n"/>
      <c r="H6" s="5" t="n"/>
      <c r="I6" s="5" t="n"/>
      <c r="J6" s="5" t="n"/>
      <c r="K6" s="5" t="n"/>
      <c r="L6" s="5" t="n"/>
      <c r="M6" s="5" t="n"/>
      <c r="N6" s="6" t="n">
        <v>800</v>
      </c>
      <c r="O6" s="6">
        <f>N6*LOG(N6, 2)</f>
        <v/>
      </c>
    </row>
    <row r="7">
      <c r="A7" s="6" t="n">
        <v>1600</v>
      </c>
      <c r="B7" s="6" t="n">
        <v>295300</v>
      </c>
      <c r="C7" s="6" t="n">
        <v>241600</v>
      </c>
      <c r="D7" s="6" t="n">
        <v>263900</v>
      </c>
      <c r="E7" s="6">
        <f>AVERAGE(B7:D7)</f>
        <v/>
      </c>
      <c r="F7" s="5" t="n"/>
      <c r="G7" s="5" t="n"/>
      <c r="H7" s="5" t="n"/>
      <c r="I7" s="5" t="n"/>
      <c r="J7" s="5" t="n"/>
      <c r="K7" s="5" t="n"/>
      <c r="L7" s="5" t="n"/>
      <c r="M7" s="5" t="n"/>
      <c r="N7" s="6" t="n">
        <v>1600</v>
      </c>
      <c r="O7" s="6">
        <f>N7*LOG(N7, 2)</f>
        <v/>
      </c>
    </row>
    <row r="8">
      <c r="A8" s="6" t="n">
        <v>3200</v>
      </c>
      <c r="B8" s="6" t="n">
        <v>494200</v>
      </c>
      <c r="C8" s="6" t="n">
        <v>563400</v>
      </c>
      <c r="D8" s="6" t="n">
        <v>234600</v>
      </c>
      <c r="E8" s="6">
        <f>AVERAGE(B8:D8)</f>
        <v/>
      </c>
      <c r="F8" s="5" t="n"/>
      <c r="G8" s="5" t="n"/>
      <c r="H8" s="5" t="n"/>
      <c r="I8" s="5" t="n"/>
      <c r="J8" s="5" t="n"/>
      <c r="K8" s="5" t="n"/>
      <c r="L8" s="5" t="n"/>
      <c r="M8" s="5" t="n"/>
      <c r="N8" s="6" t="n">
        <v>3200</v>
      </c>
      <c r="O8" s="6">
        <f>N8*LOG(N8, 2)</f>
        <v/>
      </c>
    </row>
    <row r="9">
      <c r="A9" s="6" t="n">
        <v>6400</v>
      </c>
      <c r="B9" s="6" t="n">
        <v>220200</v>
      </c>
      <c r="C9" s="6" t="n">
        <v>216900</v>
      </c>
      <c r="D9" s="6" t="n">
        <v>206700</v>
      </c>
      <c r="E9" s="6">
        <f>AVERAGE(B9:D9)</f>
        <v/>
      </c>
      <c r="F9" s="5" t="n"/>
      <c r="G9" s="5" t="n"/>
      <c r="H9" s="5" t="n"/>
      <c r="I9" s="5" t="n"/>
      <c r="J9" s="5" t="n"/>
      <c r="K9" s="5" t="n"/>
      <c r="L9" s="5" t="n"/>
      <c r="M9" s="5" t="n"/>
      <c r="N9" s="6" t="n">
        <v>6400</v>
      </c>
      <c r="O9" s="6">
        <f>N9*LOG(N9, 2)</f>
        <v/>
      </c>
    </row>
    <row r="10">
      <c r="A10" s="6" t="n">
        <v>12800</v>
      </c>
      <c r="B10" s="6" t="n">
        <v>412200</v>
      </c>
      <c r="C10" s="6" t="n">
        <v>405900</v>
      </c>
      <c r="D10" s="6" t="n">
        <v>331700</v>
      </c>
      <c r="E10" s="6">
        <f>AVERAGE(B10:D10)</f>
        <v/>
      </c>
      <c r="F10" s="5" t="n"/>
      <c r="G10" s="5" t="n"/>
      <c r="H10" s="5" t="n"/>
      <c r="I10" s="5" t="n"/>
      <c r="J10" s="5" t="n"/>
      <c r="K10" s="5" t="n"/>
      <c r="L10" s="5" t="n"/>
      <c r="M10" s="5" t="n"/>
      <c r="N10" s="6" t="n">
        <v>12800</v>
      </c>
      <c r="O10" s="6">
        <f>N10*LOG(N10, 2)</f>
        <v/>
      </c>
    </row>
    <row r="11">
      <c r="A11" s="6" t="n">
        <v>25600</v>
      </c>
      <c r="B11" s="6" t="n">
        <v>786900</v>
      </c>
      <c r="C11" s="6" t="n">
        <v>686600</v>
      </c>
      <c r="D11" s="6" t="n">
        <v>817700</v>
      </c>
      <c r="E11" s="6">
        <f>AVERAGE(B11:D11)</f>
        <v/>
      </c>
      <c r="F11" s="5" t="n"/>
      <c r="G11" s="5" t="n"/>
      <c r="H11" s="5" t="n"/>
      <c r="I11" s="5" t="n"/>
      <c r="J11" s="5" t="n"/>
      <c r="K11" s="5" t="n"/>
      <c r="L11" s="5" t="n"/>
      <c r="M11" s="5" t="n"/>
      <c r="N11" s="6" t="n">
        <v>25600</v>
      </c>
      <c r="O11" s="6">
        <f>N11*LOG(N11, 2)</f>
        <v/>
      </c>
    </row>
    <row r="12">
      <c r="A12" s="6" t="n">
        <v>51200</v>
      </c>
      <c r="B12" s="6" t="n">
        <v>2027400</v>
      </c>
      <c r="C12" s="6" t="n">
        <v>1898600</v>
      </c>
      <c r="D12" s="6" t="n">
        <v>1899700</v>
      </c>
      <c r="E12" s="6">
        <f>AVERAGE(B12:D12)</f>
        <v/>
      </c>
      <c r="F12" s="5" t="n"/>
      <c r="G12" s="5" t="n"/>
      <c r="H12" s="5" t="n"/>
      <c r="I12" s="5" t="n"/>
      <c r="J12" s="5" t="n"/>
      <c r="K12" s="5" t="n"/>
      <c r="L12" s="5" t="n"/>
      <c r="M12" s="5" t="n"/>
      <c r="N12" s="6" t="n">
        <v>51200</v>
      </c>
      <c r="O12" s="6">
        <f>N12*LOG(N12, 2)</f>
        <v/>
      </c>
    </row>
    <row r="13">
      <c r="A13" s="6" t="n">
        <v>102400</v>
      </c>
      <c r="B13" s="6" t="n">
        <v>3620000</v>
      </c>
      <c r="C13" s="6" t="n">
        <v>3326100</v>
      </c>
      <c r="D13" s="6" t="n">
        <v>2696700</v>
      </c>
      <c r="E13" s="6">
        <f>AVERAGE(B13:D13)</f>
        <v/>
      </c>
      <c r="F13" s="5" t="n"/>
      <c r="G13" s="5" t="n"/>
      <c r="H13" s="5" t="n"/>
      <c r="I13" s="5" t="n"/>
      <c r="J13" s="5" t="n"/>
      <c r="K13" s="5" t="n"/>
      <c r="L13" s="5" t="n"/>
      <c r="M13" s="5" t="n"/>
      <c r="N13" s="6" t="n">
        <v>102400</v>
      </c>
      <c r="O13" s="6">
        <f>N13*LOG(N13, 2)</f>
        <v/>
      </c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</row>
    <row r="25">
      <c r="A25" s="4" t="inlineStr">
        <is>
          <t>N</t>
        </is>
      </c>
      <c r="B25" s="4" t="n">
        <v>1</v>
      </c>
      <c r="C25" s="4" t="n">
        <v>2</v>
      </c>
      <c r="D25" s="4" t="n">
        <v>3</v>
      </c>
      <c r="E25" s="4" t="inlineStr">
        <is>
          <t>Среднее</t>
        </is>
      </c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</row>
    <row r="26">
      <c r="A26" s="6" t="n">
        <v>10</v>
      </c>
      <c r="B26" s="6" t="n">
        <v>1900</v>
      </c>
      <c r="C26" s="6" t="n">
        <v>400</v>
      </c>
      <c r="D26" s="6" t="n">
        <v>400</v>
      </c>
      <c r="E26" s="6">
        <f>AVERAGE(B26:D26)</f>
        <v/>
      </c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</row>
    <row r="27">
      <c r="A27" s="6" t="n">
        <v>100</v>
      </c>
      <c r="B27" s="6" t="n">
        <v>600</v>
      </c>
      <c r="C27" s="6" t="n">
        <v>300</v>
      </c>
      <c r="D27" s="6" t="n">
        <v>300</v>
      </c>
      <c r="E27" s="6">
        <f>AVERAGE(B27:D27)</f>
        <v/>
      </c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</row>
    <row r="28">
      <c r="A28" s="6" t="n">
        <v>200</v>
      </c>
      <c r="B28" s="6" t="n">
        <v>600</v>
      </c>
      <c r="C28" s="6" t="n">
        <v>700</v>
      </c>
      <c r="D28" s="6" t="n">
        <v>800</v>
      </c>
      <c r="E28" s="6">
        <f>AVERAGE(B28:D28)</f>
        <v/>
      </c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</row>
    <row r="29">
      <c r="A29" s="6" t="n">
        <v>400</v>
      </c>
      <c r="B29" s="6" t="n">
        <v>1500</v>
      </c>
      <c r="C29" s="6" t="n">
        <v>800</v>
      </c>
      <c r="D29" s="6" t="n">
        <v>900</v>
      </c>
      <c r="E29" s="6">
        <f>AVERAGE(B29:D29)</f>
        <v/>
      </c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</row>
    <row r="30">
      <c r="A30" s="6" t="n">
        <v>800</v>
      </c>
      <c r="B30" s="6" t="n">
        <v>1800</v>
      </c>
      <c r="C30" s="6" t="n">
        <v>2000</v>
      </c>
      <c r="D30" s="6" t="n">
        <v>1700</v>
      </c>
      <c r="E30" s="6">
        <f>AVERAGE(B30:D30)</f>
        <v/>
      </c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</row>
    <row r="31">
      <c r="A31" s="6" t="n">
        <v>1600</v>
      </c>
      <c r="B31" s="6" t="n">
        <v>3800</v>
      </c>
      <c r="C31" s="6" t="n">
        <v>3500</v>
      </c>
      <c r="D31" s="6" t="n">
        <v>6000</v>
      </c>
      <c r="E31" s="6">
        <f>AVERAGE(B31:D31)</f>
        <v/>
      </c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</row>
    <row r="32">
      <c r="A32" s="6" t="n">
        <v>3200</v>
      </c>
      <c r="B32" s="6" t="n">
        <v>7100</v>
      </c>
      <c r="C32" s="6" t="n">
        <v>8300</v>
      </c>
      <c r="D32" s="6" t="n">
        <v>9400</v>
      </c>
      <c r="E32" s="6">
        <f>AVERAGE(B32:D32)</f>
        <v/>
      </c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</row>
    <row r="33">
      <c r="A33" s="6" t="n">
        <v>6400</v>
      </c>
      <c r="B33" s="6" t="n">
        <v>12200</v>
      </c>
      <c r="C33" s="6" t="n">
        <v>15400</v>
      </c>
      <c r="D33" s="6" t="n">
        <v>17500</v>
      </c>
      <c r="E33" s="6">
        <f>AVERAGE(B33:D33)</f>
        <v/>
      </c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</row>
    <row r="34">
      <c r="A34" s="6" t="n">
        <v>12800</v>
      </c>
      <c r="B34" s="6" t="n">
        <v>242200</v>
      </c>
      <c r="C34" s="6" t="n">
        <v>25800</v>
      </c>
      <c r="D34" s="6" t="n">
        <v>21500</v>
      </c>
      <c r="E34" s="6">
        <f>AVERAGE(B34:D34)</f>
        <v/>
      </c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</row>
    <row r="35">
      <c r="A35" s="6" t="n">
        <v>25600</v>
      </c>
      <c r="B35" s="6" t="n">
        <v>43000</v>
      </c>
      <c r="C35" s="6" t="n">
        <v>42300</v>
      </c>
      <c r="D35" s="6" t="n">
        <v>42200</v>
      </c>
      <c r="E35" s="6">
        <f>AVERAGE(B35:D35)</f>
        <v/>
      </c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</row>
    <row r="36">
      <c r="A36" s="6" t="n">
        <v>51200</v>
      </c>
      <c r="B36" s="6" t="n">
        <v>90600</v>
      </c>
      <c r="C36" s="6" t="n">
        <v>85000</v>
      </c>
      <c r="D36" s="6" t="n">
        <v>84300</v>
      </c>
      <c r="E36" s="6">
        <f>AVERAGE(B36:D36)</f>
        <v/>
      </c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</row>
    <row r="37">
      <c r="A37" s="6" t="n">
        <v>102400</v>
      </c>
      <c r="B37" s="6" t="n">
        <v>170300</v>
      </c>
      <c r="C37" s="6" t="n">
        <v>188100</v>
      </c>
      <c r="D37" s="6" t="n">
        <v>169000</v>
      </c>
      <c r="E37" s="6">
        <f>AVERAGE(B37:D37)</f>
        <v/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</row>
    <row r="48">
      <c r="A48" s="4" t="inlineStr">
        <is>
          <t>N</t>
        </is>
      </c>
      <c r="B48" s="4" t="n">
        <v>1</v>
      </c>
      <c r="C48" s="4" t="n">
        <v>2</v>
      </c>
      <c r="D48" s="4" t="n">
        <v>3</v>
      </c>
      <c r="E48" s="4" t="inlineStr">
        <is>
          <t>Среднее</t>
        </is>
      </c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</row>
    <row r="49">
      <c r="A49" s="6" t="n">
        <v>10</v>
      </c>
      <c r="B49" s="6" t="n">
        <v>2900</v>
      </c>
      <c r="C49" s="6" t="n">
        <v>1900</v>
      </c>
      <c r="D49" s="6" t="n">
        <v>1800</v>
      </c>
      <c r="E49" s="6">
        <f>AVERAGE(B49:D49)</f>
        <v/>
      </c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</row>
    <row r="50">
      <c r="A50" s="6" t="n">
        <v>100</v>
      </c>
      <c r="B50" s="6" t="n">
        <v>1900</v>
      </c>
      <c r="C50" s="6" t="n">
        <v>600</v>
      </c>
      <c r="D50" s="6" t="n">
        <v>500</v>
      </c>
      <c r="E50" s="6">
        <f>AVERAGE(B50:D50)</f>
        <v/>
      </c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</row>
    <row r="51">
      <c r="A51" s="6" t="n">
        <v>200</v>
      </c>
      <c r="B51" s="6" t="n">
        <v>1400</v>
      </c>
      <c r="C51" s="6" t="n">
        <v>1000</v>
      </c>
      <c r="D51" s="6" t="n">
        <v>900</v>
      </c>
      <c r="E51" s="6">
        <f>AVERAGE(B51:D51)</f>
        <v/>
      </c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</row>
    <row r="52">
      <c r="A52" s="6" t="n">
        <v>400</v>
      </c>
      <c r="B52" s="6" t="n">
        <v>1800</v>
      </c>
      <c r="C52" s="6" t="n">
        <v>1800</v>
      </c>
      <c r="D52" s="6" t="n">
        <v>2000</v>
      </c>
      <c r="E52" s="6">
        <f>AVERAGE(B52:D52)</f>
        <v/>
      </c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</row>
    <row r="53">
      <c r="A53" s="6" t="n">
        <v>800</v>
      </c>
      <c r="B53" s="6" t="n">
        <v>3700</v>
      </c>
      <c r="C53" s="6" t="n">
        <v>3500</v>
      </c>
      <c r="D53" s="6" t="n">
        <v>2200</v>
      </c>
      <c r="E53" s="6">
        <f>AVERAGE(B53:D53)</f>
        <v/>
      </c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</row>
    <row r="54">
      <c r="A54" s="6" t="n">
        <v>1600</v>
      </c>
      <c r="B54" s="6" t="n">
        <v>7500</v>
      </c>
      <c r="C54" s="6" t="n">
        <v>5900</v>
      </c>
      <c r="D54" s="6" t="n">
        <v>6500</v>
      </c>
      <c r="E54" s="6">
        <f>AVERAGE(B54:D54)</f>
        <v/>
      </c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</row>
    <row r="55">
      <c r="A55" s="6" t="n">
        <v>3200</v>
      </c>
      <c r="B55" s="6" t="n">
        <v>12300</v>
      </c>
      <c r="C55" s="6" t="n">
        <v>8100</v>
      </c>
      <c r="D55" s="6" t="n">
        <v>8300</v>
      </c>
      <c r="E55" s="6">
        <f>AVERAGE(B55:D55)</f>
        <v/>
      </c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</row>
    <row r="56">
      <c r="A56" s="6" t="n">
        <v>6400</v>
      </c>
      <c r="B56" s="6" t="n">
        <v>24600</v>
      </c>
      <c r="C56" s="6" t="n">
        <v>25600</v>
      </c>
      <c r="D56" s="6" t="n">
        <v>16300</v>
      </c>
      <c r="E56" s="6">
        <f>AVERAGE(B56:D56)</f>
        <v/>
      </c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</row>
    <row r="57">
      <c r="A57" s="6" t="n">
        <v>12800</v>
      </c>
      <c r="B57" s="6" t="n">
        <v>48800</v>
      </c>
      <c r="C57" s="6" t="n">
        <v>32900</v>
      </c>
      <c r="D57" s="6" t="n">
        <v>32200</v>
      </c>
      <c r="E57" s="6">
        <f>AVERAGE(B57:D57)</f>
        <v/>
      </c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</row>
    <row r="58">
      <c r="A58" s="6" t="n">
        <v>25600</v>
      </c>
      <c r="B58" s="6" t="n">
        <v>74300</v>
      </c>
      <c r="C58" s="6" t="n">
        <v>67300</v>
      </c>
      <c r="D58" s="6" t="n">
        <v>64400</v>
      </c>
      <c r="E58" s="6">
        <f>AVERAGE(B58:D58)</f>
        <v/>
      </c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</row>
    <row r="59">
      <c r="A59" s="6" t="n">
        <v>51200</v>
      </c>
      <c r="B59" s="6" t="n">
        <v>130300</v>
      </c>
      <c r="C59" s="6" t="n">
        <v>136200</v>
      </c>
      <c r="D59" s="6" t="n">
        <v>129400</v>
      </c>
      <c r="E59" s="6">
        <f>AVERAGE(B59:D59)</f>
        <v/>
      </c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</row>
    <row r="60">
      <c r="A60" s="6" t="n">
        <v>102400</v>
      </c>
      <c r="B60" s="6" t="n">
        <v>259000</v>
      </c>
      <c r="C60" s="6" t="n">
        <v>314000</v>
      </c>
      <c r="D60" s="6" t="n">
        <v>290000</v>
      </c>
      <c r="E60" s="6">
        <f>AVERAGE(B60:D60)</f>
        <v/>
      </c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21" customWidth="1" min="5" max="5"/>
  </cols>
  <sheetData>
    <row r="1">
      <c r="A1" s="4" t="inlineStr">
        <is>
          <t>N</t>
        </is>
      </c>
      <c r="B1" s="4" t="n">
        <v>1</v>
      </c>
      <c r="C1" s="4" t="n">
        <v>2</v>
      </c>
      <c r="D1" s="4" t="n">
        <v>3</v>
      </c>
      <c r="E1" s="4" t="inlineStr">
        <is>
          <t>Среднее</t>
        </is>
      </c>
    </row>
    <row r="2">
      <c r="A2" s="6" t="n">
        <v>10</v>
      </c>
      <c r="B2" s="6" t="n">
        <v>2900</v>
      </c>
      <c r="C2" s="6" t="n">
        <v>1900</v>
      </c>
      <c r="D2" s="6" t="n">
        <v>1800</v>
      </c>
      <c r="E2" s="6">
        <f>AVERAGE(B2:D2)</f>
        <v/>
      </c>
    </row>
    <row r="3">
      <c r="A3" s="6" t="n">
        <v>100</v>
      </c>
      <c r="B3" s="6" t="n">
        <v>1900</v>
      </c>
      <c r="C3" s="6" t="n">
        <v>600</v>
      </c>
      <c r="D3" s="6" t="n">
        <v>500</v>
      </c>
      <c r="E3" s="6">
        <f>AVERAGE(B3:D3)</f>
        <v/>
      </c>
    </row>
    <row r="4">
      <c r="A4" s="6" t="n">
        <v>200</v>
      </c>
      <c r="B4" s="6" t="n">
        <v>1400</v>
      </c>
      <c r="C4" s="6" t="n">
        <v>1000</v>
      </c>
      <c r="D4" s="6" t="n">
        <v>900</v>
      </c>
      <c r="E4" s="6">
        <f>AVERAGE(B4:D4)</f>
        <v/>
      </c>
    </row>
    <row r="5">
      <c r="A5" s="6" t="n">
        <v>400</v>
      </c>
      <c r="B5" s="6" t="n">
        <v>1800</v>
      </c>
      <c r="C5" s="6" t="n">
        <v>1800</v>
      </c>
      <c r="D5" s="6" t="n">
        <v>2000</v>
      </c>
      <c r="E5" s="6">
        <f>AVERAGE(B5:D5)</f>
        <v/>
      </c>
    </row>
    <row r="6">
      <c r="A6" s="6" t="n">
        <v>800</v>
      </c>
      <c r="B6" s="6" t="n">
        <v>3700</v>
      </c>
      <c r="C6" s="6" t="n">
        <v>3500</v>
      </c>
      <c r="D6" s="6" t="n">
        <v>2200</v>
      </c>
      <c r="E6" s="6">
        <f>AVERAGE(B6:D6)</f>
        <v/>
      </c>
    </row>
    <row r="7">
      <c r="A7" s="6" t="n">
        <v>1600</v>
      </c>
      <c r="B7" s="6" t="n">
        <v>7500</v>
      </c>
      <c r="C7" s="6" t="n">
        <v>5900</v>
      </c>
      <c r="D7" s="6" t="n">
        <v>6500</v>
      </c>
      <c r="E7" s="6">
        <f>AVERAGE(B7:D7)</f>
        <v/>
      </c>
    </row>
    <row r="8">
      <c r="A8" s="6" t="n">
        <v>3200</v>
      </c>
      <c r="B8" s="6" t="n">
        <v>12300</v>
      </c>
      <c r="C8" s="6" t="n">
        <v>8100</v>
      </c>
      <c r="D8" s="6" t="n">
        <v>8300</v>
      </c>
      <c r="E8" s="6">
        <f>AVERAGE(B8:D8)</f>
        <v/>
      </c>
    </row>
    <row r="9">
      <c r="A9" s="6" t="n">
        <v>6400</v>
      </c>
      <c r="B9" s="6" t="n">
        <v>24600</v>
      </c>
      <c r="C9" s="6" t="n">
        <v>25600</v>
      </c>
      <c r="D9" s="6" t="n">
        <v>16300</v>
      </c>
      <c r="E9" s="6">
        <f>AVERAGE(B9:D9)</f>
        <v/>
      </c>
    </row>
    <row r="10">
      <c r="A10" s="6" t="n">
        <v>12800</v>
      </c>
      <c r="B10" s="6" t="n">
        <v>48800</v>
      </c>
      <c r="C10" s="6" t="n">
        <v>32900</v>
      </c>
      <c r="D10" s="6" t="n">
        <v>32200</v>
      </c>
      <c r="E10" s="6">
        <f>AVERAGE(B10:D10)</f>
        <v/>
      </c>
    </row>
    <row r="11">
      <c r="A11" s="6" t="n">
        <v>25600</v>
      </c>
      <c r="B11" s="6" t="n">
        <v>74300</v>
      </c>
      <c r="C11" s="6" t="n">
        <v>67300</v>
      </c>
      <c r="D11" s="6" t="n">
        <v>64400</v>
      </c>
      <c r="E11" s="6">
        <f>AVERAGE(B11:D11)</f>
        <v/>
      </c>
    </row>
    <row r="12">
      <c r="A12" s="6" t="n">
        <v>51200</v>
      </c>
      <c r="B12" s="6" t="n">
        <v>130300</v>
      </c>
      <c r="C12" s="6" t="n">
        <v>136200</v>
      </c>
      <c r="D12" s="6" t="n">
        <v>129400</v>
      </c>
      <c r="E12" s="6">
        <f>AVERAGE(B12:D12)</f>
        <v/>
      </c>
    </row>
    <row r="13">
      <c r="A13" s="6" t="n">
        <v>102400</v>
      </c>
      <c r="B13" s="6" t="n">
        <v>259000</v>
      </c>
      <c r="C13" s="6" t="n">
        <v>314000</v>
      </c>
      <c r="D13" s="6" t="n">
        <v>290000</v>
      </c>
      <c r="E13" s="6">
        <f>AVERAGE(B13:D13)</f>
        <v/>
      </c>
    </row>
    <row r="14">
      <c r="A14" s="7" t="inlineStr">
        <is>
          <t>Arrays.sort (худший)</t>
        </is>
      </c>
      <c r="B14" s="5" t="n"/>
      <c r="C14" s="5" t="n"/>
      <c r="D14" s="5" t="n"/>
      <c r="E14" s="5" t="n"/>
    </row>
    <row r="15">
      <c r="A15" s="5" t="n"/>
      <c r="B15" s="5" t="n"/>
      <c r="C15" s="5" t="n"/>
      <c r="D15" s="5" t="n"/>
      <c r="E15" s="5" t="n"/>
    </row>
    <row r="16">
      <c r="A16" s="5" t="n"/>
      <c r="B16" s="5" t="n"/>
      <c r="C16" s="5" t="n"/>
      <c r="D16" s="5" t="n"/>
      <c r="E16" s="5" t="n"/>
    </row>
    <row r="17">
      <c r="A17" s="5" t="n"/>
      <c r="B17" s="5" t="n"/>
      <c r="C17" s="5" t="n"/>
      <c r="D17" s="5" t="n"/>
      <c r="E17" s="5" t="n"/>
    </row>
    <row r="18">
      <c r="A18" s="4" t="inlineStr">
        <is>
          <t>N</t>
        </is>
      </c>
      <c r="B18" s="4" t="n">
        <v>1</v>
      </c>
      <c r="C18" s="4" t="n">
        <v>2</v>
      </c>
      <c r="D18" s="4" t="n">
        <v>3</v>
      </c>
      <c r="E18" s="4" t="inlineStr">
        <is>
          <t>Среднее</t>
        </is>
      </c>
    </row>
    <row r="19">
      <c r="A19" s="6" t="n">
        <v>10</v>
      </c>
      <c r="B19" s="6" t="n">
        <v>2700</v>
      </c>
      <c r="C19" s="6" t="n">
        <v>400</v>
      </c>
      <c r="D19" s="6" t="n">
        <v>300</v>
      </c>
      <c r="E19" s="6">
        <f>AVERAGE(B19:D19)</f>
        <v/>
      </c>
    </row>
    <row r="20">
      <c r="A20" s="6" t="n">
        <v>100</v>
      </c>
      <c r="B20" s="6" t="n">
        <v>3600</v>
      </c>
      <c r="C20" s="6" t="n">
        <v>3300</v>
      </c>
      <c r="D20" s="6" t="n">
        <v>3000</v>
      </c>
      <c r="E20" s="6">
        <f>AVERAGE(B20:D20)</f>
        <v/>
      </c>
    </row>
    <row r="21">
      <c r="A21" s="6" t="n">
        <v>200</v>
      </c>
      <c r="B21" s="6" t="n">
        <v>7400</v>
      </c>
      <c r="C21" s="6" t="n">
        <v>6600</v>
      </c>
      <c r="D21" s="6" t="n">
        <v>6500</v>
      </c>
      <c r="E21" s="6">
        <f>AVERAGE(B21:D21)</f>
        <v/>
      </c>
    </row>
    <row r="22">
      <c r="A22" s="6" t="n">
        <v>400</v>
      </c>
      <c r="B22" s="6" t="n">
        <v>15000</v>
      </c>
      <c r="C22" s="6" t="n">
        <v>13000</v>
      </c>
      <c r="D22" s="6" t="n">
        <v>13100</v>
      </c>
      <c r="E22" s="6">
        <f>AVERAGE(B22:D22)</f>
        <v/>
      </c>
    </row>
    <row r="23">
      <c r="A23" s="6" t="n">
        <v>800</v>
      </c>
      <c r="B23" s="6" t="n">
        <v>33000</v>
      </c>
      <c r="C23" s="6" t="n">
        <v>28100</v>
      </c>
      <c r="D23" s="6" t="n">
        <v>32100</v>
      </c>
      <c r="E23" s="6">
        <f>AVERAGE(B23:D23)</f>
        <v/>
      </c>
    </row>
    <row r="24">
      <c r="A24" s="6" t="n">
        <v>1600</v>
      </c>
      <c r="B24" s="6" t="n">
        <v>54900</v>
      </c>
      <c r="C24" s="6" t="n">
        <v>53800</v>
      </c>
      <c r="D24" s="6" t="n">
        <v>53800</v>
      </c>
      <c r="E24" s="6">
        <f>AVERAGE(B24:D24)</f>
        <v/>
      </c>
    </row>
    <row r="25">
      <c r="A25" s="6" t="n">
        <v>3200</v>
      </c>
      <c r="B25" s="6" t="n">
        <v>111600</v>
      </c>
      <c r="C25" s="6" t="n">
        <v>111900</v>
      </c>
      <c r="D25" s="6" t="n">
        <v>110400</v>
      </c>
      <c r="E25" s="6">
        <f>AVERAGE(B25:D25)</f>
        <v/>
      </c>
    </row>
    <row r="26">
      <c r="A26" s="6" t="n">
        <v>6400</v>
      </c>
      <c r="B26" s="6" t="n">
        <v>222300</v>
      </c>
      <c r="C26" s="6" t="n">
        <v>226900</v>
      </c>
      <c r="D26" s="6" t="n">
        <v>227400</v>
      </c>
      <c r="E26" s="6">
        <f>AVERAGE(B26:D26)</f>
        <v/>
      </c>
    </row>
    <row r="27">
      <c r="A27" s="6" t="n">
        <v>12800</v>
      </c>
      <c r="B27" s="6" t="n">
        <v>473900</v>
      </c>
      <c r="C27" s="6" t="n">
        <v>464600</v>
      </c>
      <c r="D27" s="6" t="n">
        <v>461900</v>
      </c>
      <c r="E27" s="6">
        <f>AVERAGE(B27:D27)</f>
        <v/>
      </c>
    </row>
    <row r="28">
      <c r="A28" s="6" t="n">
        <v>25600</v>
      </c>
      <c r="B28" s="6" t="n">
        <v>817100</v>
      </c>
      <c r="C28" s="6" t="n">
        <v>805000</v>
      </c>
      <c r="D28" s="6" t="n">
        <v>514800</v>
      </c>
      <c r="E28" s="6">
        <f>AVERAGE(B28:D28)</f>
        <v/>
      </c>
    </row>
    <row r="29">
      <c r="A29" s="6" t="n">
        <v>51200</v>
      </c>
      <c r="B29" s="6" t="n">
        <v>1056200</v>
      </c>
      <c r="C29" s="6" t="n">
        <v>1091300</v>
      </c>
      <c r="D29" s="6" t="n">
        <v>1109000</v>
      </c>
      <c r="E29" s="6">
        <f>AVERAGE(B29:D29)</f>
        <v/>
      </c>
    </row>
    <row r="30">
      <c r="A30" s="6" t="n">
        <v>102400</v>
      </c>
      <c r="B30" s="6" t="n">
        <v>2334100</v>
      </c>
      <c r="C30" s="6" t="n">
        <v>2372500</v>
      </c>
      <c r="D30" s="6" t="n">
        <v>4095300</v>
      </c>
      <c r="E30" s="6">
        <f>AVERAGE(B30:D30)</f>
        <v/>
      </c>
    </row>
    <row r="31">
      <c r="A31" s="5" t="n"/>
      <c r="B31" s="5" t="n"/>
      <c r="C31" s="5" t="n"/>
      <c r="D31" s="5" t="n"/>
      <c r="E31" s="5" t="n"/>
    </row>
    <row r="32">
      <c r="A32" s="7" t="inlineStr">
        <is>
          <t>MergeSort (худший)</t>
        </is>
      </c>
      <c r="B32" s="5" t="n"/>
      <c r="C32" s="5" t="n"/>
      <c r="D32" s="5" t="n"/>
      <c r="E32" s="5" t="n"/>
    </row>
    <row r="33">
      <c r="A33" s="5" t="n"/>
      <c r="B33" s="5" t="n"/>
      <c r="C33" s="5" t="n"/>
      <c r="D33" s="5" t="n"/>
      <c r="E33" s="5" t="n"/>
    </row>
    <row r="34">
      <c r="A34" s="4" t="inlineStr">
        <is>
          <t>N</t>
        </is>
      </c>
      <c r="B34" s="4" t="n">
        <v>1</v>
      </c>
      <c r="C34" s="4" t="n">
        <v>2</v>
      </c>
      <c r="D34" s="4" t="n">
        <v>3</v>
      </c>
      <c r="E34" s="4" t="inlineStr">
        <is>
          <t>Среднее</t>
        </is>
      </c>
    </row>
    <row r="35">
      <c r="A35" s="6" t="n">
        <v>10</v>
      </c>
      <c r="B35" s="6" t="n">
        <v>300</v>
      </c>
      <c r="C35" s="6" t="n">
        <v>100</v>
      </c>
      <c r="D35" s="6" t="n">
        <v>100</v>
      </c>
      <c r="E35" s="6">
        <f>AVERAGE(B35:D35)</f>
        <v/>
      </c>
    </row>
    <row r="36">
      <c r="A36" s="6" t="n">
        <v>100</v>
      </c>
      <c r="B36" s="6" t="n">
        <v>3200</v>
      </c>
      <c r="C36" s="6" t="n">
        <v>3200</v>
      </c>
      <c r="D36" s="6" t="n">
        <v>3100</v>
      </c>
      <c r="E36" s="6">
        <f>AVERAGE(B36:D36)</f>
        <v/>
      </c>
    </row>
    <row r="37">
      <c r="A37" s="6" t="n">
        <v>200</v>
      </c>
      <c r="B37" s="6" t="n">
        <v>12000</v>
      </c>
      <c r="C37" s="6" t="n">
        <v>11200</v>
      </c>
      <c r="D37" s="6" t="n">
        <v>14700</v>
      </c>
      <c r="E37" s="6">
        <f>AVERAGE(B37:D37)</f>
        <v/>
      </c>
    </row>
    <row r="38">
      <c r="A38" s="6" t="n">
        <v>400</v>
      </c>
      <c r="B38" s="6" t="n">
        <v>40300</v>
      </c>
      <c r="C38" s="6" t="n">
        <v>41600</v>
      </c>
      <c r="D38" s="6" t="n">
        <v>37400</v>
      </c>
      <c r="E38" s="6">
        <f>AVERAGE(B38:D38)</f>
        <v/>
      </c>
    </row>
    <row r="39">
      <c r="A39" s="6" t="n">
        <v>800</v>
      </c>
      <c r="B39" s="6" t="n">
        <v>169900</v>
      </c>
      <c r="C39" s="6" t="n">
        <v>144000</v>
      </c>
      <c r="D39" s="6" t="n">
        <v>138800</v>
      </c>
      <c r="E39" s="6">
        <f>AVERAGE(B39:D39)</f>
        <v/>
      </c>
    </row>
    <row r="40">
      <c r="A40" s="6" t="n">
        <v>1600</v>
      </c>
      <c r="B40" s="6" t="n">
        <v>744800</v>
      </c>
      <c r="C40" s="6" t="n">
        <v>765700</v>
      </c>
      <c r="D40" s="6" t="n">
        <v>739200</v>
      </c>
      <c r="E40" s="6">
        <f>AVERAGE(B40:D40)</f>
        <v/>
      </c>
    </row>
    <row r="41">
      <c r="A41" s="6" t="n">
        <v>3200</v>
      </c>
      <c r="B41" s="6" t="n">
        <v>3033900</v>
      </c>
      <c r="C41" s="6" t="n">
        <v>3033900</v>
      </c>
      <c r="D41" s="6" t="n">
        <v>3070200</v>
      </c>
      <c r="E41" s="6">
        <f>AVERAGE(B41:D41)</f>
        <v/>
      </c>
    </row>
    <row r="42">
      <c r="A42" s="6" t="n">
        <v>6400</v>
      </c>
      <c r="B42" s="6" t="n">
        <v>12335000</v>
      </c>
      <c r="C42" s="6" t="n">
        <v>12259700</v>
      </c>
      <c r="D42" s="6" t="n">
        <v>12056000</v>
      </c>
      <c r="E42" s="6">
        <f>AVERAGE(B42:D42)</f>
        <v/>
      </c>
    </row>
    <row r="43">
      <c r="A43" s="6" t="n">
        <v>12800</v>
      </c>
      <c r="B43" s="6" t="n">
        <v>36495100</v>
      </c>
      <c r="C43" s="6" t="n">
        <v>39764900</v>
      </c>
      <c r="D43" s="6" t="n">
        <v>54840500</v>
      </c>
      <c r="E43" s="6">
        <f>AVERAGE(B43:D43)</f>
        <v/>
      </c>
    </row>
    <row r="44">
      <c r="A44" s="6" t="n">
        <v>25600</v>
      </c>
      <c r="B44" s="6" t="n">
        <v>210565000</v>
      </c>
      <c r="C44" s="6" t="n">
        <v>211500000</v>
      </c>
      <c r="D44" s="6" t="n">
        <v>213087200</v>
      </c>
      <c r="E44" s="6">
        <f>AVERAGE(B44:D44)</f>
        <v/>
      </c>
    </row>
    <row r="45">
      <c r="A45" s="6" t="n">
        <v>51200</v>
      </c>
      <c r="B45" s="6" t="n">
        <v>801242600</v>
      </c>
      <c r="C45" s="6" t="n">
        <v>820429600</v>
      </c>
      <c r="D45" s="6" t="n">
        <v>831842100</v>
      </c>
      <c r="E45" s="6">
        <f>AVERAGE(B45:D45)</f>
        <v/>
      </c>
    </row>
    <row r="46">
      <c r="A46" s="5" t="n"/>
      <c r="B46" s="5" t="n"/>
      <c r="C46" s="5" t="n"/>
      <c r="D46" s="5" t="n"/>
      <c r="E46" s="5" t="n"/>
    </row>
    <row r="47">
      <c r="A47" s="7" t="inlineStr">
        <is>
          <t>BubbleSort (худший)</t>
        </is>
      </c>
      <c r="B47" s="5" t="n"/>
      <c r="C47" s="5" t="n"/>
      <c r="D47" s="5" t="n"/>
      <c r="E47" s="5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2026-10-26T16:21:55Z</dcterms:created>
  <dcterms:modified xmlns:dcterms="http://purl.org/dc/terms/" xmlns:xsi="http://www.w3.org/2001/XMLSchema-instance" xsi:type="dcterms:W3CDTF">2026-10-26T16:45:16Z</dcterms:modified>
</cp:coreProperties>
</file>