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bbleSort" sheetId="1" state="visible" r:id="rId1"/>
    <sheet xmlns:r="http://schemas.openxmlformats.org/officeDocument/2006/relationships" name="MergeSort" sheetId="2" state="visible" r:id="rId2"/>
    <sheet xmlns:r="http://schemas.openxmlformats.org/officeDocument/2006/relationships" name="BubbleMergeS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sz val="11"/>
    </font>
    <font>
      <name val="Calibri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BubbleSort (случайный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'BubbleSort'!$E$2:$E$12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x^2</a:t>
            </a:r>
          </a:p>
        </rich>
      </tx>
    </title>
    <plotArea>
      <lineChart>
        <grouping val="standard"/>
        <ser>
          <idx val="0"/>
          <order val="0"/>
          <tx>
            <v>x^2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'BubbleSort'!$O$2:$O$12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Лучший BubbleSort (отсортированный массив)</a:t>
            </a:r>
          </a:p>
          <a:p xmlns:a="http://schemas.openxmlformats.org/drawingml/2006/main">
            <a:pPr>
              <a:defRPr/>
            </a:pPr>
            <a:r>
              <a:t>(возможно, влияют оптимизации языка или процессора)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'BubbleSort'!$E$26:$E$36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Худший BubbleSort (обратно отсортированный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'BubbleSort'!$E$49:$E$59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BubbleSort (все 3 случая)</a:t>
            </a:r>
          </a:p>
        </rich>
      </tx>
    </title>
    <plotArea>
      <lineChart>
        <grouping val="standard"/>
        <ser>
          <idx val="0"/>
          <order val="0"/>
          <tx>
            <v>Случайный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'BubbleSort'!$E$2:$E$12</f>
            </numRef>
          </val>
        </ser>
        <ser>
          <idx val="1"/>
          <order val="1"/>
          <tx>
            <v>Лучший</v>
          </tx>
          <spPr>
            <a:ln xmlns:a="http://schemas.openxmlformats.org/drawingml/2006/main" w="28800">
              <a:solidFill>
                <a:srgbClr val="FF420E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FF420E"/>
              </a:solidFill>
              <a:ln xmlns:a="http://schemas.openxmlformats.org/drawingml/2006/main">
                <a:solidFill>
                  <a:srgbClr val="FF420E"/>
                </a:solidFill>
                <a:prstDash val="solid"/>
              </a:ln>
            </spPr>
          </marker>
          <val>
            <numRef>
              <f>'BubbleSort'!$E$26:$E$36</f>
            </numRef>
          </val>
        </ser>
        <ser>
          <idx val="2"/>
          <order val="2"/>
          <tx>
            <v>Худший</v>
          </tx>
          <spPr>
            <a:ln xmlns:a="http://schemas.openxmlformats.org/drawingml/2006/main" w="28800">
              <a:solidFill>
                <a:srgbClr val="FFD320"/>
              </a:solidFill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FFD320"/>
              </a:solidFill>
              <a:ln xmlns:a="http://schemas.openxmlformats.org/drawingml/2006/main">
                <a:solidFill>
                  <a:srgbClr val="FFD320"/>
                </a:solidFill>
                <a:prstDash val="solid"/>
              </a:ln>
            </spPr>
          </marker>
          <val>
            <numRef>
              <f>'BubbleSort'!$E$49:$E$59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MergeSort (случайный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nlogn</a:t>
            </a:r>
          </a:p>
        </rich>
      </tx>
    </title>
    <plotArea>
      <lineChart>
        <grouping val="standard"/>
        <ser>
          <idx val="0"/>
          <order val="0"/>
          <tx>
            <v>nlogn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'MergeSort'!$O$2:$O$13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Лучший MergeSort (отсортированный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'MergeSort'!$E$26:$E$37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Худший MergeSort (обратно отсортированный массив)</a:t>
            </a:r>
          </a:p>
        </rich>
      </tx>
    </title>
    <plotArea>
      <lineChart>
        <grouping val="standard"/>
        <ser>
          <idx val="0"/>
          <order val="0"/>
          <tx>
            <v>Ряд1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'MergeSort'!$E$49:$E$60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MergeSort (все 3 случая)</a:t>
            </a:r>
          </a:p>
        </rich>
      </tx>
    </title>
    <plotArea>
      <lineChart>
        <grouping val="standard"/>
        <ser>
          <idx val="0"/>
          <order val="0"/>
          <tx>
            <v>Случайный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'MergeSort'!$E$2:$E$13</f>
            </numRef>
          </val>
        </ser>
        <ser>
          <idx val="1"/>
          <order val="1"/>
          <tx>
            <v>Лучший</v>
          </tx>
          <spPr>
            <a:ln xmlns:a="http://schemas.openxmlformats.org/drawingml/2006/main" w="28800">
              <a:solidFill>
                <a:srgbClr val="FF420E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FF420E"/>
              </a:solidFill>
              <a:ln xmlns:a="http://schemas.openxmlformats.org/drawingml/2006/main">
                <a:solidFill>
                  <a:srgbClr val="FF420E"/>
                </a:solidFill>
                <a:prstDash val="solid"/>
              </a:ln>
            </spPr>
          </marker>
          <val>
            <numRef>
              <f>'MergeSort'!$E$26:$E$37</f>
            </numRef>
          </val>
        </ser>
        <ser>
          <idx val="2"/>
          <order val="2"/>
          <tx>
            <v>Худший</v>
          </tx>
          <spPr>
            <a:ln xmlns:a="http://schemas.openxmlformats.org/drawingml/2006/main" w="28800">
              <a:solidFill>
                <a:srgbClr val="FFD320"/>
              </a:solidFill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FFD320"/>
              </a:solidFill>
              <a:ln xmlns:a="http://schemas.openxmlformats.org/drawingml/2006/main">
                <a:solidFill>
                  <a:srgbClr val="FFD320"/>
                </a:solidFill>
                <a:prstDash val="solid"/>
              </a:ln>
            </spPr>
          </marker>
          <val>
            <numRef>
              <f>'MergeSort'!$E$49:$E$60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MergeSort</a:t>
            </a:r>
          </a:p>
        </rich>
      </tx>
    </title>
    <plotArea>
      <lineChart>
        <grouping val="standard"/>
        <ser>
          <idx val="0"/>
          <order val="0"/>
          <tx>
            <v>merge_sort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'BubbleMergeSort'!$E$2:$E$14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Сравнение BubbleSort и MergeSort</a:t>
            </a:r>
          </a:p>
        </rich>
      </tx>
    </title>
    <plotArea>
      <lineChart>
        <grouping val="standard"/>
        <ser>
          <idx val="0"/>
          <order val="0"/>
          <tx>
            <v>merge_sort</v>
          </tx>
          <spPr>
            <a:ln xmlns:a="http://schemas.openxmlformats.org/drawingml/2006/main" w="28800">
              <a:solidFill>
                <a:srgbClr val="004586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004586"/>
              </a:solidFill>
              <a:ln xmlns:a="http://schemas.openxmlformats.org/drawingml/2006/main">
                <a:solidFill>
                  <a:srgbClr val="004586"/>
                </a:solidFill>
                <a:prstDash val="solid"/>
              </a:ln>
            </spPr>
          </marker>
          <val>
            <numRef>
              <f>'BubbleMergeSort'!$E$2:$E$14</f>
            </numRef>
          </val>
        </ser>
        <ser>
          <idx val="1"/>
          <order val="1"/>
          <tx>
            <v>bubble_sort</v>
          </tx>
          <spPr>
            <a:ln xmlns:a="http://schemas.openxmlformats.org/drawingml/2006/main" w="28800">
              <a:solidFill>
                <a:srgbClr val="FF420E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FF420E"/>
              </a:solidFill>
              <a:ln xmlns:a="http://schemas.openxmlformats.org/drawingml/2006/main">
                <a:solidFill>
                  <a:srgbClr val="FF420E"/>
                </a:solidFill>
                <a:prstDash val="solid"/>
              </a:ln>
            </spPr>
          </marker>
          <val>
            <numRef>
              <f>'BubbleMergeSort'!$E$19:$E$29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47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47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2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>
      <c r="A1" s="4" t="inlineStr">
        <is>
          <t>N</t>
        </is>
      </c>
      <c r="B1" s="4" t="n">
        <v>1</v>
      </c>
      <c r="C1" s="4" t="n">
        <v>2</v>
      </c>
      <c r="D1" s="4" t="n">
        <v>3</v>
      </c>
      <c r="E1" s="4" t="inlineStr">
        <is>
          <t>Среднее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4" t="inlineStr">
        <is>
          <t>N</t>
        </is>
      </c>
      <c r="O1" s="4" t="inlineStr">
        <is>
          <t>x^2</t>
        </is>
      </c>
    </row>
    <row r="2">
      <c r="A2" s="6" t="n">
        <v>10</v>
      </c>
      <c r="B2" s="6" t="n">
        <v>500</v>
      </c>
      <c r="C2" s="6" t="n">
        <v>400</v>
      </c>
      <c r="D2" s="6" t="n">
        <v>400</v>
      </c>
      <c r="E2" s="6">
        <f>AVERAGE(B2:D2)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6" t="n">
        <v>10</v>
      </c>
      <c r="O2" s="6">
        <f>N2*N2</f>
        <v/>
      </c>
    </row>
    <row r="3">
      <c r="A3" s="6" t="n">
        <v>100</v>
      </c>
      <c r="B3" s="6" t="n">
        <v>9600</v>
      </c>
      <c r="C3" s="6" t="n">
        <v>9000</v>
      </c>
      <c r="D3" s="6" t="n">
        <v>9400</v>
      </c>
      <c r="E3" s="6">
        <f>AVERAGE(B3:D3)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6" t="n">
        <v>100</v>
      </c>
      <c r="O3" s="6">
        <f>N3*N3</f>
        <v/>
      </c>
    </row>
    <row r="4">
      <c r="A4" s="6" t="n">
        <v>200</v>
      </c>
      <c r="B4" s="6" t="n">
        <v>28700</v>
      </c>
      <c r="C4" s="6" t="n">
        <v>27100</v>
      </c>
      <c r="D4" s="6" t="n">
        <v>28300</v>
      </c>
      <c r="E4" s="6">
        <f>AVERAGE(B4:D4)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6" t="n">
        <v>200</v>
      </c>
      <c r="O4" s="6">
        <f>N4*N4</f>
        <v/>
      </c>
    </row>
    <row r="5">
      <c r="A5" s="6" t="n">
        <v>400</v>
      </c>
      <c r="B5" s="6" t="n">
        <v>97800</v>
      </c>
      <c r="C5" s="6" t="n">
        <v>87600</v>
      </c>
      <c r="D5" s="6" t="n">
        <v>88000</v>
      </c>
      <c r="E5" s="6">
        <f>AVERAGE(B5:D5)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6" t="n">
        <v>400</v>
      </c>
      <c r="O5" s="6">
        <f>N5*N5</f>
        <v/>
      </c>
    </row>
    <row r="6">
      <c r="A6" s="6" t="n">
        <v>800</v>
      </c>
      <c r="B6" s="6" t="n">
        <v>264800</v>
      </c>
      <c r="C6" s="6" t="n">
        <v>266200</v>
      </c>
      <c r="D6" s="6" t="n">
        <v>272000</v>
      </c>
      <c r="E6" s="6">
        <f>AVERAGE(B6:D6)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6" t="n">
        <v>800</v>
      </c>
      <c r="O6" s="6">
        <f>N6*N6</f>
        <v/>
      </c>
    </row>
    <row r="7">
      <c r="A7" s="6" t="n">
        <v>1600</v>
      </c>
      <c r="B7" s="6" t="n">
        <v>834400</v>
      </c>
      <c r="C7" s="6" t="n">
        <v>815300</v>
      </c>
      <c r="D7" s="6" t="n">
        <v>854200</v>
      </c>
      <c r="E7" s="6">
        <f>AVERAGE(B7:D7)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6" t="n">
        <v>1600</v>
      </c>
      <c r="O7" s="6">
        <f>N7*N7</f>
        <v/>
      </c>
    </row>
    <row r="8">
      <c r="A8" s="6" t="n">
        <v>3200</v>
      </c>
      <c r="B8" s="6" t="n">
        <v>2797300</v>
      </c>
      <c r="C8" s="6" t="n">
        <v>2784700</v>
      </c>
      <c r="D8" s="6" t="n">
        <v>2831200</v>
      </c>
      <c r="E8" s="6">
        <f>AVERAGE(B8:D8)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6" t="n">
        <v>3200</v>
      </c>
      <c r="O8" s="6">
        <f>N8*N8</f>
        <v/>
      </c>
    </row>
    <row r="9">
      <c r="A9" s="6" t="n">
        <v>6400</v>
      </c>
      <c r="B9" s="6" t="n">
        <v>10115200</v>
      </c>
      <c r="C9" s="6" t="n">
        <v>10005600</v>
      </c>
      <c r="D9" s="6" t="n">
        <v>9953200</v>
      </c>
      <c r="E9" s="6">
        <f>AVERAGE(B9:D9)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6" t="n">
        <v>6400</v>
      </c>
      <c r="O9" s="6">
        <f>N9*N9</f>
        <v/>
      </c>
    </row>
    <row r="10">
      <c r="A10" s="6" t="n">
        <v>12800</v>
      </c>
      <c r="B10" s="6" t="n">
        <v>37895300</v>
      </c>
      <c r="C10" s="6" t="n">
        <v>37478700</v>
      </c>
      <c r="D10" s="6" t="n">
        <v>37915800</v>
      </c>
      <c r="E10" s="6">
        <f>AVERAGE(B10:D10)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6" t="n">
        <v>12800</v>
      </c>
      <c r="O10" s="6">
        <f>N10*N10</f>
        <v/>
      </c>
    </row>
    <row r="11">
      <c r="A11" s="6" t="n">
        <v>25600</v>
      </c>
      <c r="B11" s="6" t="n">
        <v>158623200</v>
      </c>
      <c r="C11" s="6" t="n">
        <v>197411600</v>
      </c>
      <c r="D11" s="6" t="n">
        <v>197270000</v>
      </c>
      <c r="E11" s="6">
        <f>AVERAGE(B11:D11)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6" t="n">
        <v>25600</v>
      </c>
      <c r="O11" s="6">
        <f>N11*N11</f>
        <v/>
      </c>
    </row>
    <row r="12">
      <c r="A12" s="6" t="n">
        <v>51200</v>
      </c>
      <c r="B12" s="6" t="n">
        <v>1604973200</v>
      </c>
      <c r="C12" s="6" t="n">
        <v>1820630500</v>
      </c>
      <c r="D12" s="6" t="n">
        <v>1947239000</v>
      </c>
      <c r="E12" s="6">
        <f>AVERAGE(B12:D12)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6" t="n">
        <v>51200</v>
      </c>
      <c r="O12" s="6">
        <f>N12*N12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4" t="inlineStr">
        <is>
          <t>N</t>
        </is>
      </c>
      <c r="B25" s="4" t="n">
        <v>1</v>
      </c>
      <c r="C25" s="4" t="n">
        <v>2</v>
      </c>
      <c r="D25" s="4" t="n">
        <v>3</v>
      </c>
      <c r="E25" s="4" t="inlineStr">
        <is>
          <t>Среднее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10</v>
      </c>
      <c r="B26" s="6" t="n">
        <v>100</v>
      </c>
      <c r="C26" s="6" t="n">
        <v>0</v>
      </c>
      <c r="D26" s="6" t="n">
        <v>0</v>
      </c>
      <c r="E26" s="6">
        <f>AVERAGE(B26:D26)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100</v>
      </c>
      <c r="B27" s="6" t="n">
        <v>700</v>
      </c>
      <c r="C27" s="6" t="n">
        <v>100</v>
      </c>
      <c r="D27" s="6" t="n">
        <v>200</v>
      </c>
      <c r="E27" s="6">
        <f>AVERAGE(B27:D27)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200</v>
      </c>
      <c r="B28" s="6" t="n">
        <v>500</v>
      </c>
      <c r="C28" s="6" t="n">
        <v>300</v>
      </c>
      <c r="D28" s="6" t="n">
        <v>200</v>
      </c>
      <c r="E28" s="6">
        <f>AVERAGE(B28:D28)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400</v>
      </c>
      <c r="B29" s="6" t="n">
        <v>600</v>
      </c>
      <c r="C29" s="6" t="n">
        <v>500</v>
      </c>
      <c r="D29" s="6" t="n">
        <v>400</v>
      </c>
      <c r="E29" s="6">
        <f>AVERAGE(B29:D29)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800</v>
      </c>
      <c r="B30" s="6" t="n">
        <v>800</v>
      </c>
      <c r="C30" s="6" t="n">
        <v>600</v>
      </c>
      <c r="D30" s="6" t="n">
        <v>600</v>
      </c>
      <c r="E30" s="6">
        <f>AVERAGE(B30:D30)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1600</v>
      </c>
      <c r="B31" s="6" t="n">
        <v>1400</v>
      </c>
      <c r="C31" s="6" t="n">
        <v>900</v>
      </c>
      <c r="D31" s="6" t="n">
        <v>900</v>
      </c>
      <c r="E31" s="6">
        <f>AVERAGE(B31:D31)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3200</v>
      </c>
      <c r="B32" s="6" t="n">
        <v>2400</v>
      </c>
      <c r="C32" s="6" t="n">
        <v>2000</v>
      </c>
      <c r="D32" s="6" t="n">
        <v>2200</v>
      </c>
      <c r="E32" s="6">
        <f>AVERAGE(B32:D32)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6400</v>
      </c>
      <c r="B33" s="6" t="n">
        <v>3900</v>
      </c>
      <c r="C33" s="6" t="n">
        <v>4100</v>
      </c>
      <c r="D33" s="6" t="n">
        <v>4400</v>
      </c>
      <c r="E33" s="6">
        <f>AVERAGE(B33:D33)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12800</v>
      </c>
      <c r="B34" s="6" t="n">
        <v>7300</v>
      </c>
      <c r="C34" s="6" t="n">
        <v>7700</v>
      </c>
      <c r="D34" s="6" t="n">
        <v>7700</v>
      </c>
      <c r="E34" s="6">
        <f>AVERAGE(B34:D34)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25600</v>
      </c>
      <c r="B35" s="6" t="n">
        <v>15600</v>
      </c>
      <c r="C35" s="6" t="n">
        <v>14900</v>
      </c>
      <c r="D35" s="6" t="n">
        <v>14900</v>
      </c>
      <c r="E35" s="6">
        <f>AVERAGE(B35:D35)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51200</v>
      </c>
      <c r="B36" s="6" t="n">
        <v>47400</v>
      </c>
      <c r="C36" s="6" t="n">
        <v>31200</v>
      </c>
      <c r="D36" s="6" t="n">
        <v>31300</v>
      </c>
      <c r="E36" s="6">
        <f>AVERAGE(B36:D36)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4" t="inlineStr">
        <is>
          <t>N</t>
        </is>
      </c>
      <c r="B48" s="4" t="n">
        <v>1</v>
      </c>
      <c r="C48" s="4" t="n">
        <v>2</v>
      </c>
      <c r="D48" s="4" t="n">
        <v>3</v>
      </c>
      <c r="E48" s="4" t="inlineStr">
        <is>
          <t>Среднее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10</v>
      </c>
      <c r="B49" s="6" t="n">
        <v>300</v>
      </c>
      <c r="C49" s="6" t="n">
        <v>100</v>
      </c>
      <c r="D49" s="6" t="n">
        <v>100</v>
      </c>
      <c r="E49" s="6">
        <f>AVERAGE(B49:D49)</f>
        <v/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100</v>
      </c>
      <c r="B50" s="6" t="n">
        <v>3200</v>
      </c>
      <c r="C50" s="6" t="n">
        <v>3200</v>
      </c>
      <c r="D50" s="6" t="n">
        <v>3100</v>
      </c>
      <c r="E50" s="6">
        <f>AVERAGE(B50:D50)</f>
        <v/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200</v>
      </c>
      <c r="B51" s="6" t="n">
        <v>12000</v>
      </c>
      <c r="C51" s="6" t="n">
        <v>11200</v>
      </c>
      <c r="D51" s="6" t="n">
        <v>14700</v>
      </c>
      <c r="E51" s="6">
        <f>AVERAGE(B51:D51)</f>
        <v/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400</v>
      </c>
      <c r="B52" s="6" t="n">
        <v>40300</v>
      </c>
      <c r="C52" s="6" t="n">
        <v>41600</v>
      </c>
      <c r="D52" s="6" t="n">
        <v>37400</v>
      </c>
      <c r="E52" s="6">
        <f>AVERAGE(B52:D52)</f>
        <v/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800</v>
      </c>
      <c r="B53" s="6" t="n">
        <v>169900</v>
      </c>
      <c r="C53" s="6" t="n">
        <v>144000</v>
      </c>
      <c r="D53" s="6" t="n">
        <v>138800</v>
      </c>
      <c r="E53" s="6">
        <f>AVERAGE(B53:D53)</f>
        <v/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1600</v>
      </c>
      <c r="B54" s="6" t="n">
        <v>744800</v>
      </c>
      <c r="C54" s="6" t="n">
        <v>765700</v>
      </c>
      <c r="D54" s="6" t="n">
        <v>739200</v>
      </c>
      <c r="E54" s="6">
        <f>AVERAGE(B54:D54)</f>
        <v/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3200</v>
      </c>
      <c r="B55" s="6" t="n">
        <v>3033900</v>
      </c>
      <c r="C55" s="6" t="n">
        <v>3033900</v>
      </c>
      <c r="D55" s="6" t="n">
        <v>3070200</v>
      </c>
      <c r="E55" s="6">
        <f>AVERAGE(B55:D55)</f>
        <v/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6400</v>
      </c>
      <c r="B56" s="6" t="n">
        <v>12335000</v>
      </c>
      <c r="C56" s="6" t="n">
        <v>12259700</v>
      </c>
      <c r="D56" s="6" t="n">
        <v>12056000</v>
      </c>
      <c r="E56" s="6">
        <f>AVERAGE(B56:D56)</f>
        <v/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12800</v>
      </c>
      <c r="B57" s="6" t="n">
        <v>36495100</v>
      </c>
      <c r="C57" s="6" t="n">
        <v>39764900</v>
      </c>
      <c r="D57" s="6" t="n">
        <v>54840500</v>
      </c>
      <c r="E57" s="6">
        <f>AVERAGE(B57:D57)</f>
        <v/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25600</v>
      </c>
      <c r="B58" s="6" t="n">
        <v>210565000</v>
      </c>
      <c r="C58" s="6" t="n">
        <v>211500000</v>
      </c>
      <c r="D58" s="6" t="n">
        <v>213087200</v>
      </c>
      <c r="E58" s="6">
        <f>AVERAGE(B58:D58)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51200</v>
      </c>
      <c r="B59" s="6" t="n">
        <v>801242600</v>
      </c>
      <c r="C59" s="6" t="n">
        <v>820429600</v>
      </c>
      <c r="D59" s="6" t="n">
        <v>831842100</v>
      </c>
      <c r="E59" s="6">
        <f>AVERAGE(B59:D59)</f>
        <v/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0" customWidth="1" min="15" max="15"/>
  </cols>
  <sheetData>
    <row r="1">
      <c r="A1" s="4" t="inlineStr">
        <is>
          <t>N</t>
        </is>
      </c>
      <c r="B1" s="4" t="n">
        <v>1</v>
      </c>
      <c r="C1" s="4" t="n">
        <v>2</v>
      </c>
      <c r="D1" s="4" t="n">
        <v>3</v>
      </c>
      <c r="E1" s="4" t="inlineStr">
        <is>
          <t>Среднее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4" t="inlineStr">
        <is>
          <t>N</t>
        </is>
      </c>
      <c r="O1" s="4" t="inlineStr">
        <is>
          <t>nlogn</t>
        </is>
      </c>
    </row>
    <row r="2">
      <c r="A2" s="6" t="n">
        <v>10</v>
      </c>
      <c r="B2" s="6" t="n">
        <v>125900</v>
      </c>
      <c r="C2" s="6" t="n">
        <v>3100</v>
      </c>
      <c r="D2" s="6" t="n">
        <v>2300</v>
      </c>
      <c r="E2" s="6">
        <f>AVERAGE(B2:D2)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6" t="n">
        <v>10</v>
      </c>
      <c r="O2" s="6">
        <f>N2*LOG(N2, 2)</f>
        <v/>
      </c>
    </row>
    <row r="3">
      <c r="A3" s="6" t="n">
        <v>100</v>
      </c>
      <c r="B3" s="6" t="n">
        <v>55600</v>
      </c>
      <c r="C3" s="6" t="n">
        <v>32700</v>
      </c>
      <c r="D3" s="6" t="n">
        <v>32300</v>
      </c>
      <c r="E3" s="6">
        <f>AVERAGE(B3:D3)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6" t="n">
        <v>100</v>
      </c>
      <c r="O3" s="6">
        <f>N3*LOG(N3, 2)</f>
        <v/>
      </c>
    </row>
    <row r="4">
      <c r="A4" s="6" t="n">
        <v>200</v>
      </c>
      <c r="B4" s="6" t="n">
        <v>80000</v>
      </c>
      <c r="C4" s="6" t="n">
        <v>76700</v>
      </c>
      <c r="D4" s="6" t="n">
        <v>64800</v>
      </c>
      <c r="E4" s="6">
        <f>AVERAGE(B4:D4)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6" t="n">
        <v>200</v>
      </c>
      <c r="O4" s="6">
        <f>N4*LOG(N4, 2)</f>
        <v/>
      </c>
    </row>
    <row r="5">
      <c r="A5" s="6" t="n">
        <v>400</v>
      </c>
      <c r="B5" s="6" t="n">
        <v>33800</v>
      </c>
      <c r="C5" s="6" t="n">
        <v>39900</v>
      </c>
      <c r="D5" s="6" t="n">
        <v>35900</v>
      </c>
      <c r="E5" s="6">
        <f>AVERAGE(B5:D5)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6" t="n">
        <v>400</v>
      </c>
      <c r="O5" s="6">
        <f>N5*LOG(N5, 2)</f>
        <v/>
      </c>
    </row>
    <row r="6">
      <c r="A6" s="6" t="n">
        <v>800</v>
      </c>
      <c r="B6" s="6" t="n">
        <v>70200</v>
      </c>
      <c r="C6" s="6" t="n">
        <v>74400</v>
      </c>
      <c r="D6" s="6" t="n">
        <v>74500</v>
      </c>
      <c r="E6" s="6">
        <f>AVERAGE(B6:D6)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6" t="n">
        <v>800</v>
      </c>
      <c r="O6" s="6">
        <f>N6*LOG(N6, 2)</f>
        <v/>
      </c>
    </row>
    <row r="7">
      <c r="A7" s="6" t="n">
        <v>1600</v>
      </c>
      <c r="B7" s="6" t="n">
        <v>150900</v>
      </c>
      <c r="C7" s="6" t="n">
        <v>156600</v>
      </c>
      <c r="D7" s="6" t="n">
        <v>157500</v>
      </c>
      <c r="E7" s="6">
        <f>AVERAGE(B7:D7)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6" t="n">
        <v>1600</v>
      </c>
      <c r="O7" s="6">
        <f>N7*LOG(N7, 2)</f>
        <v/>
      </c>
    </row>
    <row r="8">
      <c r="A8" s="6" t="n">
        <v>3200</v>
      </c>
      <c r="B8" s="6" t="n">
        <v>322500</v>
      </c>
      <c r="C8" s="6" t="n">
        <v>318200</v>
      </c>
      <c r="D8" s="6" t="n">
        <v>265300</v>
      </c>
      <c r="E8" s="6">
        <f>AVERAGE(B8:D8)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6" t="n">
        <v>3200</v>
      </c>
      <c r="O8" s="6">
        <f>N8*LOG(N8, 2)</f>
        <v/>
      </c>
    </row>
    <row r="9">
      <c r="A9" s="6" t="n">
        <v>6400</v>
      </c>
      <c r="B9" s="6" t="n">
        <v>509400</v>
      </c>
      <c r="C9" s="6" t="n">
        <v>460000</v>
      </c>
      <c r="D9" s="6" t="n">
        <v>469100</v>
      </c>
      <c r="E9" s="6">
        <f>AVERAGE(B9:D9)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6" t="n">
        <v>6400</v>
      </c>
      <c r="O9" s="6">
        <f>N9*LOG(N9, 2)</f>
        <v/>
      </c>
    </row>
    <row r="10">
      <c r="A10" s="6" t="n">
        <v>12800</v>
      </c>
      <c r="B10" s="6" t="n">
        <v>986500</v>
      </c>
      <c r="C10" s="6" t="n">
        <v>977000</v>
      </c>
      <c r="D10" s="6" t="n">
        <v>1128200</v>
      </c>
      <c r="E10" s="6">
        <f>AVERAGE(B10:D10)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6" t="n">
        <v>12800</v>
      </c>
      <c r="O10" s="6">
        <f>N10*LOG(N10, 2)</f>
        <v/>
      </c>
    </row>
    <row r="11">
      <c r="A11" s="6" t="n">
        <v>25600</v>
      </c>
      <c r="B11" s="6" t="n">
        <v>2576200</v>
      </c>
      <c r="C11" s="6" t="n">
        <v>2386200</v>
      </c>
      <c r="D11" s="6" t="n">
        <v>2062600</v>
      </c>
      <c r="E11" s="6">
        <f>AVERAGE(B11:D11)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6" t="n">
        <v>25600</v>
      </c>
      <c r="O11" s="6">
        <f>N11*LOG(N11, 2)</f>
        <v/>
      </c>
    </row>
    <row r="12">
      <c r="A12" s="6" t="n">
        <v>51200</v>
      </c>
      <c r="B12" s="6" t="n">
        <v>5390700</v>
      </c>
      <c r="C12" s="6" t="n">
        <v>6168700</v>
      </c>
      <c r="D12" s="6" t="n">
        <v>5647100</v>
      </c>
      <c r="E12" s="6">
        <f>AVERAGE(B12:D12)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6" t="n">
        <v>51200</v>
      </c>
      <c r="O12" s="6">
        <f>N12*LOG(N12, 2)</f>
        <v/>
      </c>
    </row>
    <row r="13">
      <c r="A13" s="6" t="n">
        <v>102400</v>
      </c>
      <c r="B13" s="6" t="n">
        <v>9067400</v>
      </c>
      <c r="C13" s="6" t="n">
        <v>9002600</v>
      </c>
      <c r="D13" s="6" t="n">
        <v>7931800</v>
      </c>
      <c r="E13" s="6">
        <f>AVERAGE(B13:D13)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6" t="n">
        <v>102400</v>
      </c>
      <c r="O13" s="6">
        <f>N13*LOG(N13, 2)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4" t="inlineStr">
        <is>
          <t>N</t>
        </is>
      </c>
      <c r="B25" s="4" t="n">
        <v>1</v>
      </c>
      <c r="C25" s="4" t="n">
        <v>2</v>
      </c>
      <c r="D25" s="4" t="n">
        <v>3</v>
      </c>
      <c r="E25" s="4" t="inlineStr">
        <is>
          <t>Среднее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10</v>
      </c>
      <c r="B26" s="6" t="n">
        <v>900</v>
      </c>
      <c r="C26" s="6" t="n">
        <v>400</v>
      </c>
      <c r="D26" s="6" t="n">
        <v>300</v>
      </c>
      <c r="E26" s="6">
        <f>AVERAGE(B26:D26)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100</v>
      </c>
      <c r="B27" s="6" t="n">
        <v>3000</v>
      </c>
      <c r="C27" s="6" t="n">
        <v>4400</v>
      </c>
      <c r="D27" s="6" t="n">
        <v>2600</v>
      </c>
      <c r="E27" s="6">
        <f>AVERAGE(B27:D27)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200</v>
      </c>
      <c r="B28" s="6" t="n">
        <v>7100</v>
      </c>
      <c r="C28" s="6" t="n">
        <v>5400</v>
      </c>
      <c r="D28" s="6" t="n">
        <v>5300</v>
      </c>
      <c r="E28" s="6">
        <f>AVERAGE(B28:D28)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400</v>
      </c>
      <c r="B29" s="6" t="n">
        <v>14900</v>
      </c>
      <c r="C29" s="6" t="n">
        <v>16200</v>
      </c>
      <c r="D29" s="6" t="n">
        <v>15700</v>
      </c>
      <c r="E29" s="6">
        <f>AVERAGE(B29:D29)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800</v>
      </c>
      <c r="B30" s="6" t="n">
        <v>31200</v>
      </c>
      <c r="C30" s="6" t="n">
        <v>28600</v>
      </c>
      <c r="D30" s="6" t="n">
        <v>24500</v>
      </c>
      <c r="E30" s="6">
        <f>AVERAGE(B30:D30)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1600</v>
      </c>
      <c r="B31" s="6" t="n">
        <v>44100</v>
      </c>
      <c r="C31" s="6" t="n">
        <v>41400</v>
      </c>
      <c r="D31" s="6" t="n">
        <v>53100</v>
      </c>
      <c r="E31" s="6">
        <f>AVERAGE(B31:D31)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3200</v>
      </c>
      <c r="B32" s="6" t="n">
        <v>108400</v>
      </c>
      <c r="C32" s="6" t="n">
        <v>91000</v>
      </c>
      <c r="D32" s="6" t="n">
        <v>85100</v>
      </c>
      <c r="E32" s="6">
        <f>AVERAGE(B32:D32)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6400</v>
      </c>
      <c r="B33" s="6" t="n">
        <v>287100</v>
      </c>
      <c r="C33" s="6" t="n">
        <v>282500</v>
      </c>
      <c r="D33" s="6" t="n">
        <v>308900</v>
      </c>
      <c r="E33" s="6">
        <f>AVERAGE(B33:D33)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12800</v>
      </c>
      <c r="B34" s="6" t="n">
        <v>588700</v>
      </c>
      <c r="C34" s="6" t="n">
        <v>381200</v>
      </c>
      <c r="D34" s="6" t="n">
        <v>375500</v>
      </c>
      <c r="E34" s="6">
        <f>AVERAGE(B34:D34)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25600</v>
      </c>
      <c r="B35" s="6" t="n">
        <v>1149800</v>
      </c>
      <c r="C35" s="6" t="n">
        <v>825000</v>
      </c>
      <c r="D35" s="6" t="n">
        <v>788900</v>
      </c>
      <c r="E35" s="6">
        <f>AVERAGE(B35:D35)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51200</v>
      </c>
      <c r="B36" s="6" t="n">
        <v>1746800</v>
      </c>
      <c r="C36" s="6" t="n">
        <v>1775600</v>
      </c>
      <c r="D36" s="6" t="n">
        <v>1743400</v>
      </c>
      <c r="E36" s="6">
        <f>AVERAGE(B36:D36)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102400</v>
      </c>
      <c r="B37" s="6" t="n">
        <v>3475600</v>
      </c>
      <c r="C37" s="6" t="n">
        <v>3855800</v>
      </c>
      <c r="D37" s="6" t="n">
        <v>5780400</v>
      </c>
      <c r="E37" s="6">
        <f>AVERAGE(B37:D37)</f>
        <v/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4" t="inlineStr">
        <is>
          <t>N</t>
        </is>
      </c>
      <c r="B48" s="4" t="n">
        <v>1</v>
      </c>
      <c r="C48" s="4" t="n">
        <v>2</v>
      </c>
      <c r="D48" s="4" t="n">
        <v>3</v>
      </c>
      <c r="E48" s="4" t="inlineStr">
        <is>
          <t>Среднее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10</v>
      </c>
      <c r="B49" s="6" t="n">
        <v>2700</v>
      </c>
      <c r="C49" s="6" t="n">
        <v>400</v>
      </c>
      <c r="D49" s="6" t="n">
        <v>300</v>
      </c>
      <c r="E49" s="6">
        <f>AVERAGE(B49:D49)</f>
        <v/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100</v>
      </c>
      <c r="B50" s="6" t="n">
        <v>3600</v>
      </c>
      <c r="C50" s="6" t="n">
        <v>3300</v>
      </c>
      <c r="D50" s="6" t="n">
        <v>3000</v>
      </c>
      <c r="E50" s="6">
        <f>AVERAGE(B50:D50)</f>
        <v/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200</v>
      </c>
      <c r="B51" s="6" t="n">
        <v>7400</v>
      </c>
      <c r="C51" s="6" t="n">
        <v>6600</v>
      </c>
      <c r="D51" s="6" t="n">
        <v>6500</v>
      </c>
      <c r="E51" s="6">
        <f>AVERAGE(B51:D51)</f>
        <v/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400</v>
      </c>
      <c r="B52" s="6" t="n">
        <v>15000</v>
      </c>
      <c r="C52" s="6" t="n">
        <v>13000</v>
      </c>
      <c r="D52" s="6" t="n">
        <v>13100</v>
      </c>
      <c r="E52" s="6">
        <f>AVERAGE(B52:D52)</f>
        <v/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800</v>
      </c>
      <c r="B53" s="6" t="n">
        <v>33000</v>
      </c>
      <c r="C53" s="6" t="n">
        <v>28100</v>
      </c>
      <c r="D53" s="6" t="n">
        <v>32100</v>
      </c>
      <c r="E53" s="6">
        <f>AVERAGE(B53:D53)</f>
        <v/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1600</v>
      </c>
      <c r="B54" s="6" t="n">
        <v>54900</v>
      </c>
      <c r="C54" s="6" t="n">
        <v>53800</v>
      </c>
      <c r="D54" s="6" t="n">
        <v>53800</v>
      </c>
      <c r="E54" s="6">
        <f>AVERAGE(B54:D54)</f>
        <v/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3200</v>
      </c>
      <c r="B55" s="6" t="n">
        <v>111600</v>
      </c>
      <c r="C55" s="6" t="n">
        <v>111900</v>
      </c>
      <c r="D55" s="6" t="n">
        <v>110400</v>
      </c>
      <c r="E55" s="6">
        <f>AVERAGE(B55:D55)</f>
        <v/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6400</v>
      </c>
      <c r="B56" s="6" t="n">
        <v>222300</v>
      </c>
      <c r="C56" s="6" t="n">
        <v>226900</v>
      </c>
      <c r="D56" s="6" t="n">
        <v>227400</v>
      </c>
      <c r="E56" s="6">
        <f>AVERAGE(B56:D56)</f>
        <v/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12800</v>
      </c>
      <c r="B57" s="6" t="n">
        <v>473900</v>
      </c>
      <c r="C57" s="6" t="n">
        <v>464600</v>
      </c>
      <c r="D57" s="6" t="n">
        <v>461900</v>
      </c>
      <c r="E57" s="6">
        <f>AVERAGE(B57:D57)</f>
        <v/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25600</v>
      </c>
      <c r="B58" s="6" t="n">
        <v>817100</v>
      </c>
      <c r="C58" s="6" t="n">
        <v>805000</v>
      </c>
      <c r="D58" s="6" t="n">
        <v>514800</v>
      </c>
      <c r="E58" s="6">
        <f>AVERAGE(B58:D58)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51200</v>
      </c>
      <c r="B59" s="6" t="n">
        <v>1056200</v>
      </c>
      <c r="C59" s="6" t="n">
        <v>1091300</v>
      </c>
      <c r="D59" s="6" t="n">
        <v>1109000</v>
      </c>
      <c r="E59" s="6">
        <f>AVERAGE(B59:D59)</f>
        <v/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102400</v>
      </c>
      <c r="B60" s="6" t="n">
        <v>2334100</v>
      </c>
      <c r="C60" s="6" t="n">
        <v>2372500</v>
      </c>
      <c r="D60" s="6" t="n">
        <v>4095300</v>
      </c>
      <c r="E60" s="6">
        <f>AVERAGE(B60:D60)</f>
        <v/>
      </c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13" customWidth="1" min="4" max="4"/>
    <col width="21" customWidth="1" min="5" max="5"/>
  </cols>
  <sheetData>
    <row r="1">
      <c r="A1" s="4" t="inlineStr">
        <is>
          <t>N</t>
        </is>
      </c>
      <c r="B1" s="4" t="n">
        <v>1</v>
      </c>
      <c r="C1" s="4" t="n">
        <v>2</v>
      </c>
      <c r="D1" s="4" t="n">
        <v>3</v>
      </c>
      <c r="E1" s="4" t="inlineStr">
        <is>
          <t>Среднее</t>
        </is>
      </c>
    </row>
    <row r="2">
      <c r="A2" s="6" t="n">
        <v>10</v>
      </c>
      <c r="B2" s="6" t="n">
        <v>2700</v>
      </c>
      <c r="C2" s="6" t="n">
        <v>400</v>
      </c>
      <c r="D2" s="6" t="n">
        <v>300</v>
      </c>
      <c r="E2" s="6">
        <f>AVERAGE(B2:D2)</f>
        <v/>
      </c>
    </row>
    <row r="3">
      <c r="A3" s="6" t="n">
        <v>100</v>
      </c>
      <c r="B3" s="6" t="n">
        <v>3600</v>
      </c>
      <c r="C3" s="6" t="n">
        <v>3300</v>
      </c>
      <c r="D3" s="6" t="n">
        <v>3000</v>
      </c>
      <c r="E3" s="6">
        <f>AVERAGE(B3:D3)</f>
        <v/>
      </c>
    </row>
    <row r="4">
      <c r="A4" s="6" t="n">
        <v>200</v>
      </c>
      <c r="B4" s="6" t="n">
        <v>7400</v>
      </c>
      <c r="C4" s="6" t="n">
        <v>6600</v>
      </c>
      <c r="D4" s="6" t="n">
        <v>6500</v>
      </c>
      <c r="E4" s="6">
        <f>AVERAGE(B4:D4)</f>
        <v/>
      </c>
    </row>
    <row r="5">
      <c r="A5" s="6" t="n">
        <v>400</v>
      </c>
      <c r="B5" s="6" t="n">
        <v>15000</v>
      </c>
      <c r="C5" s="6" t="n">
        <v>13000</v>
      </c>
      <c r="D5" s="6" t="n">
        <v>13100</v>
      </c>
      <c r="E5" s="6">
        <f>AVERAGE(B5:D5)</f>
        <v/>
      </c>
    </row>
    <row r="6">
      <c r="A6" s="6" t="n">
        <v>800</v>
      </c>
      <c r="B6" s="6" t="n">
        <v>33000</v>
      </c>
      <c r="C6" s="6" t="n">
        <v>28100</v>
      </c>
      <c r="D6" s="6" t="n">
        <v>32100</v>
      </c>
      <c r="E6" s="6">
        <f>AVERAGE(B6:D6)</f>
        <v/>
      </c>
    </row>
    <row r="7">
      <c r="A7" s="6" t="n">
        <v>1600</v>
      </c>
      <c r="B7" s="6" t="n">
        <v>54900</v>
      </c>
      <c r="C7" s="6" t="n">
        <v>53800</v>
      </c>
      <c r="D7" s="6" t="n">
        <v>53800</v>
      </c>
      <c r="E7" s="6">
        <f>AVERAGE(B7:D7)</f>
        <v/>
      </c>
    </row>
    <row r="8">
      <c r="A8" s="6" t="n">
        <v>3200</v>
      </c>
      <c r="B8" s="6" t="n">
        <v>111600</v>
      </c>
      <c r="C8" s="6" t="n">
        <v>111900</v>
      </c>
      <c r="D8" s="6" t="n">
        <v>110400</v>
      </c>
      <c r="E8" s="6">
        <f>AVERAGE(B8:D8)</f>
        <v/>
      </c>
    </row>
    <row r="9">
      <c r="A9" s="6" t="n">
        <v>6400</v>
      </c>
      <c r="B9" s="6" t="n">
        <v>222300</v>
      </c>
      <c r="C9" s="6" t="n">
        <v>226900</v>
      </c>
      <c r="D9" s="6" t="n">
        <v>227400</v>
      </c>
      <c r="E9" s="6">
        <f>AVERAGE(B9:D9)</f>
        <v/>
      </c>
    </row>
    <row r="10">
      <c r="A10" s="6" t="n">
        <v>12800</v>
      </c>
      <c r="B10" s="6" t="n">
        <v>473900</v>
      </c>
      <c r="C10" s="6" t="n">
        <v>464600</v>
      </c>
      <c r="D10" s="6" t="n">
        <v>461900</v>
      </c>
      <c r="E10" s="6">
        <f>AVERAGE(B10:D10)</f>
        <v/>
      </c>
    </row>
    <row r="11">
      <c r="A11" s="6" t="n">
        <v>25600</v>
      </c>
      <c r="B11" s="6" t="n">
        <v>817100</v>
      </c>
      <c r="C11" s="6" t="n">
        <v>805000</v>
      </c>
      <c r="D11" s="6" t="n">
        <v>514800</v>
      </c>
      <c r="E11" s="6">
        <f>AVERAGE(B11:D11)</f>
        <v/>
      </c>
    </row>
    <row r="12">
      <c r="A12" s="6" t="n">
        <v>51200</v>
      </c>
      <c r="B12" s="6" t="n">
        <v>1056200</v>
      </c>
      <c r="C12" s="6" t="n">
        <v>1091300</v>
      </c>
      <c r="D12" s="6" t="n">
        <v>1109000</v>
      </c>
      <c r="E12" s="6">
        <f>AVERAGE(B12:D12)</f>
        <v/>
      </c>
    </row>
    <row r="13">
      <c r="A13" s="6" t="n">
        <v>102400</v>
      </c>
      <c r="B13" s="6" t="n">
        <v>2334100</v>
      </c>
      <c r="C13" s="6" t="n">
        <v>2372500</v>
      </c>
      <c r="D13" s="6" t="n">
        <v>4095300</v>
      </c>
      <c r="E13" s="6">
        <f>AVERAGE(B13:D13)</f>
        <v/>
      </c>
    </row>
    <row r="14">
      <c r="A14" s="7" t="inlineStr">
        <is>
          <t>MergeSort (худший)</t>
        </is>
      </c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4" t="inlineStr">
        <is>
          <t>N</t>
        </is>
      </c>
      <c r="B18" s="4" t="n">
        <v>1</v>
      </c>
      <c r="C18" s="4" t="n">
        <v>2</v>
      </c>
      <c r="D18" s="4" t="n">
        <v>3</v>
      </c>
      <c r="E18" s="4" t="inlineStr">
        <is>
          <t>Среднее</t>
        </is>
      </c>
    </row>
    <row r="19">
      <c r="A19" s="6" t="n">
        <v>10</v>
      </c>
      <c r="B19" s="6" t="n">
        <v>300</v>
      </c>
      <c r="C19" s="6" t="n">
        <v>100</v>
      </c>
      <c r="D19" s="6" t="n">
        <v>100</v>
      </c>
      <c r="E19" s="6">
        <f>AVERAGE(B19:D19)</f>
        <v/>
      </c>
    </row>
    <row r="20">
      <c r="A20" s="6" t="n">
        <v>100</v>
      </c>
      <c r="B20" s="6" t="n">
        <v>3200</v>
      </c>
      <c r="C20" s="6" t="n">
        <v>3200</v>
      </c>
      <c r="D20" s="6" t="n">
        <v>3100</v>
      </c>
      <c r="E20" s="6">
        <f>AVERAGE(B20:D20)</f>
        <v/>
      </c>
    </row>
    <row r="21">
      <c r="A21" s="6" t="n">
        <v>200</v>
      </c>
      <c r="B21" s="6" t="n">
        <v>12000</v>
      </c>
      <c r="C21" s="6" t="n">
        <v>11200</v>
      </c>
      <c r="D21" s="6" t="n">
        <v>14700</v>
      </c>
      <c r="E21" s="6">
        <f>AVERAGE(B21:D21)</f>
        <v/>
      </c>
    </row>
    <row r="22">
      <c r="A22" s="6" t="n">
        <v>400</v>
      </c>
      <c r="B22" s="6" t="n">
        <v>40300</v>
      </c>
      <c r="C22" s="6" t="n">
        <v>41600</v>
      </c>
      <c r="D22" s="6" t="n">
        <v>37400</v>
      </c>
      <c r="E22" s="6">
        <f>AVERAGE(B22:D22)</f>
        <v/>
      </c>
    </row>
    <row r="23">
      <c r="A23" s="6" t="n">
        <v>800</v>
      </c>
      <c r="B23" s="6" t="n">
        <v>169900</v>
      </c>
      <c r="C23" s="6" t="n">
        <v>144000</v>
      </c>
      <c r="D23" s="6" t="n">
        <v>138800</v>
      </c>
      <c r="E23" s="6">
        <f>AVERAGE(B23:D23)</f>
        <v/>
      </c>
    </row>
    <row r="24">
      <c r="A24" s="6" t="n">
        <v>1600</v>
      </c>
      <c r="B24" s="6" t="n">
        <v>744800</v>
      </c>
      <c r="C24" s="6" t="n">
        <v>765700</v>
      </c>
      <c r="D24" s="6" t="n">
        <v>739200</v>
      </c>
      <c r="E24" s="6">
        <f>AVERAGE(B24:D24)</f>
        <v/>
      </c>
    </row>
    <row r="25">
      <c r="A25" s="6" t="n">
        <v>3200</v>
      </c>
      <c r="B25" s="6" t="n">
        <v>3033900</v>
      </c>
      <c r="C25" s="6" t="n">
        <v>3033900</v>
      </c>
      <c r="D25" s="6" t="n">
        <v>3070200</v>
      </c>
      <c r="E25" s="6">
        <f>AVERAGE(B25:D25)</f>
        <v/>
      </c>
    </row>
    <row r="26">
      <c r="A26" s="6" t="n">
        <v>6400</v>
      </c>
      <c r="B26" s="6" t="n">
        <v>12335000</v>
      </c>
      <c r="C26" s="6" t="n">
        <v>12259700</v>
      </c>
      <c r="D26" s="6" t="n">
        <v>12056000</v>
      </c>
      <c r="E26" s="6">
        <f>AVERAGE(B26:D26)</f>
        <v/>
      </c>
    </row>
    <row r="27">
      <c r="A27" s="6" t="n">
        <v>12800</v>
      </c>
      <c r="B27" s="6" t="n">
        <v>36495100</v>
      </c>
      <c r="C27" s="6" t="n">
        <v>39764900</v>
      </c>
      <c r="D27" s="6" t="n">
        <v>54840500</v>
      </c>
      <c r="E27" s="6">
        <f>AVERAGE(B27:D27)</f>
        <v/>
      </c>
    </row>
    <row r="28">
      <c r="A28" s="6" t="n">
        <v>25600</v>
      </c>
      <c r="B28" s="6" t="n">
        <v>210565000</v>
      </c>
      <c r="C28" s="6" t="n">
        <v>211500000</v>
      </c>
      <c r="D28" s="6" t="n">
        <v>213087200</v>
      </c>
      <c r="E28" s="6">
        <f>AVERAGE(B28:D28)</f>
        <v/>
      </c>
    </row>
    <row r="29">
      <c r="A29" s="6" t="n">
        <v>51200</v>
      </c>
      <c r="B29" s="6" t="n">
        <v>801242600</v>
      </c>
      <c r="C29" s="6" t="n">
        <v>820429600</v>
      </c>
      <c r="D29" s="6" t="n">
        <v>831842100</v>
      </c>
      <c r="E29" s="6">
        <f>AVERAGE(B29:D29)</f>
        <v/>
      </c>
    </row>
    <row r="30">
      <c r="A30" s="5" t="n"/>
      <c r="B30" s="5" t="n"/>
      <c r="C30" s="5" t="n"/>
      <c r="D30" s="5" t="n"/>
      <c r="E30" s="5" t="n"/>
    </row>
    <row r="31">
      <c r="A31" s="7" t="inlineStr">
        <is>
          <t>BubbleSort (худший)</t>
        </is>
      </c>
      <c r="B31" s="5" t="n"/>
      <c r="C31" s="5" t="n"/>
      <c r="D31" s="5" t="n"/>
      <c r="E31" s="5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2026-10-26T16:21:55Z</dcterms:created>
  <dcterms:modified xmlns:dcterms="http://purl.org/dc/terms/" xmlns:xsi="http://www.w3.org/2001/XMLSchema-instance" xsi:type="dcterms:W3CDTF">2026-10-26T16:45:16Z</dcterms:modified>
</cp:coreProperties>
</file>